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PC\Documents\Excel Projects\"/>
    </mc:Choice>
  </mc:AlternateContent>
  <xr:revisionPtr revIDLastSave="0" documentId="8_{C0B1215B-3280-4ECC-9760-4D5B1BE662C8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START HERE" sheetId="1" r:id="rId1"/>
    <sheet name="PRODUCT CATALOGUE" sheetId="2" r:id="rId2"/>
    <sheet name="STAFF TABLE" sheetId="3" r:id="rId3"/>
    <sheet name="RAW SALES DATA" sheetId="4" r:id="rId4"/>
    <sheet name="CLEANED DATA" sheetId="5" r:id="rId5"/>
    <sheet name="BOARD REPORT" sheetId="6" r:id="rId6"/>
  </sheets>
  <definedNames>
    <definedName name="_xlnm._FilterDatabase" localSheetId="3" hidden="1">'RAW SALES DATA'!$A$1:$U$81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6" l="1"/>
  <c r="D37" i="6"/>
  <c r="E22" i="6"/>
  <c r="E23" i="6"/>
  <c r="E24" i="6"/>
  <c r="E21" i="6"/>
  <c r="E17" i="6"/>
  <c r="E14" i="6"/>
  <c r="E15" i="6"/>
  <c r="E16" i="6"/>
  <c r="E13" i="6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2" i="4"/>
  <c r="J61" i="4"/>
  <c r="K61" i="4"/>
  <c r="L61" i="4"/>
  <c r="M61" i="4"/>
  <c r="N61" i="4"/>
  <c r="O61" i="4"/>
  <c r="P61" i="4"/>
  <c r="J62" i="4"/>
  <c r="K62" i="4"/>
  <c r="L62" i="4"/>
  <c r="M62" i="4"/>
  <c r="N62" i="4"/>
  <c r="O62" i="4"/>
  <c r="P62" i="4"/>
  <c r="J63" i="4"/>
  <c r="K63" i="4"/>
  <c r="L63" i="4"/>
  <c r="M63" i="4"/>
  <c r="N63" i="4"/>
  <c r="O63" i="4"/>
  <c r="P63" i="4"/>
  <c r="J64" i="4"/>
  <c r="K64" i="4"/>
  <c r="L64" i="4"/>
  <c r="M64" i="4"/>
  <c r="N64" i="4"/>
  <c r="O64" i="4"/>
  <c r="P64" i="4"/>
  <c r="J65" i="4"/>
  <c r="K65" i="4"/>
  <c r="L65" i="4"/>
  <c r="M65" i="4"/>
  <c r="N65" i="4"/>
  <c r="O65" i="4"/>
  <c r="P65" i="4"/>
  <c r="J66" i="4"/>
  <c r="K66" i="4"/>
  <c r="L66" i="4"/>
  <c r="M66" i="4"/>
  <c r="N66" i="4"/>
  <c r="O66" i="4"/>
  <c r="P66" i="4"/>
  <c r="J67" i="4"/>
  <c r="K67" i="4"/>
  <c r="L67" i="4"/>
  <c r="M67" i="4"/>
  <c r="N67" i="4"/>
  <c r="O67" i="4"/>
  <c r="P67" i="4"/>
  <c r="J68" i="4"/>
  <c r="K68" i="4"/>
  <c r="L68" i="4"/>
  <c r="M68" i="4"/>
  <c r="N68" i="4"/>
  <c r="O68" i="4"/>
  <c r="P68" i="4"/>
  <c r="J69" i="4"/>
  <c r="K69" i="4"/>
  <c r="L69" i="4"/>
  <c r="M69" i="4"/>
  <c r="N69" i="4"/>
  <c r="O69" i="4"/>
  <c r="P69" i="4"/>
  <c r="J70" i="4"/>
  <c r="K70" i="4"/>
  <c r="L70" i="4"/>
  <c r="M70" i="4"/>
  <c r="N70" i="4"/>
  <c r="O70" i="4"/>
  <c r="P70" i="4"/>
  <c r="J71" i="4"/>
  <c r="K71" i="4"/>
  <c r="L71" i="4"/>
  <c r="M71" i="4"/>
  <c r="N71" i="4"/>
  <c r="O71" i="4"/>
  <c r="P71" i="4"/>
  <c r="J72" i="4"/>
  <c r="K72" i="4"/>
  <c r="L72" i="4"/>
  <c r="M72" i="4"/>
  <c r="N72" i="4"/>
  <c r="O72" i="4"/>
  <c r="P72" i="4"/>
  <c r="J73" i="4"/>
  <c r="K73" i="4"/>
  <c r="L73" i="4"/>
  <c r="M73" i="4"/>
  <c r="N73" i="4"/>
  <c r="O73" i="4"/>
  <c r="P73" i="4"/>
  <c r="J74" i="4"/>
  <c r="K74" i="4"/>
  <c r="L74" i="4"/>
  <c r="M74" i="4"/>
  <c r="N74" i="4"/>
  <c r="O74" i="4"/>
  <c r="P74" i="4"/>
  <c r="J75" i="4"/>
  <c r="K75" i="4"/>
  <c r="L75" i="4"/>
  <c r="M75" i="4"/>
  <c r="N75" i="4"/>
  <c r="O75" i="4"/>
  <c r="P75" i="4"/>
  <c r="J76" i="4"/>
  <c r="K76" i="4"/>
  <c r="L76" i="4"/>
  <c r="M76" i="4"/>
  <c r="N76" i="4"/>
  <c r="O76" i="4"/>
  <c r="P76" i="4"/>
  <c r="J77" i="4"/>
  <c r="K77" i="4"/>
  <c r="L77" i="4"/>
  <c r="M77" i="4"/>
  <c r="N77" i="4"/>
  <c r="O77" i="4"/>
  <c r="P77" i="4"/>
  <c r="J78" i="4"/>
  <c r="K78" i="4"/>
  <c r="L78" i="4"/>
  <c r="M78" i="4"/>
  <c r="N78" i="4"/>
  <c r="O78" i="4"/>
  <c r="P78" i="4"/>
  <c r="J79" i="4"/>
  <c r="K79" i="4"/>
  <c r="L79" i="4"/>
  <c r="M79" i="4"/>
  <c r="N79" i="4"/>
  <c r="O79" i="4"/>
  <c r="P79" i="4"/>
  <c r="J80" i="4"/>
  <c r="K80" i="4"/>
  <c r="L80" i="4"/>
  <c r="M80" i="4"/>
  <c r="N80" i="4"/>
  <c r="O80" i="4"/>
  <c r="P80" i="4"/>
  <c r="J81" i="4"/>
  <c r="K81" i="4"/>
  <c r="L81" i="4"/>
  <c r="M81" i="4"/>
  <c r="N81" i="4"/>
  <c r="O81" i="4"/>
  <c r="P81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2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26" i="4"/>
  <c r="J23" i="4"/>
  <c r="J24" i="4"/>
  <c r="J25" i="4"/>
  <c r="J22" i="4"/>
  <c r="J19" i="4"/>
  <c r="J18" i="4"/>
  <c r="J20" i="4"/>
  <c r="J17" i="4"/>
  <c r="J15" i="4"/>
  <c r="J13" i="4"/>
  <c r="J14" i="4"/>
  <c r="J16" i="4"/>
  <c r="J21" i="4"/>
  <c r="J12" i="4"/>
  <c r="J9" i="4"/>
  <c r="J10" i="4"/>
  <c r="J11" i="4"/>
  <c r="J8" i="4"/>
  <c r="J5" i="4"/>
  <c r="J3" i="4"/>
  <c r="J4" i="4"/>
  <c r="J6" i="4"/>
  <c r="J7" i="4"/>
  <c r="J2" i="4"/>
</calcChain>
</file>

<file path=xl/sharedStrings.xml><?xml version="1.0" encoding="utf-8"?>
<sst xmlns="http://schemas.openxmlformats.org/spreadsheetml/2006/main" count="1646" uniqueCount="319">
  <si>
    <t>EXCEL CAPSTONE PROJECT — Q1 2026 BUSINESS PERFORMANCE REPORT</t>
  </si>
  <si>
    <t>Prepared for: Anotida Kanzara</t>
  </si>
  <si>
    <t>Level: Intermediate</t>
  </si>
  <si>
    <t>YOUR MISSION</t>
  </si>
  <si>
    <t>The CEO needs a board-ready report by Friday. You have 4 messy data sheets.</t>
  </si>
  <si>
    <t>Complete every task below in order.</t>
  </si>
  <si>
    <t>SHEET</t>
  </si>
  <si>
    <t>TASK</t>
  </si>
  <si>
    <t>SKILLS APPLIED</t>
  </si>
  <si>
    <t>RAW SALES DATA</t>
  </si>
  <si>
    <t>1. Remove duplicate transactions
2. Standardise Branch, Region &amp; Status columns
3. Fix mixed date formats
4. Remove extra spaces from Rep names
5. Fix 3 blank customer names
6. Fix 'N/A' and 'TBC' in Revenue column
7. Correct 4 wrong revenue calculations
8. Flag negative quantities (returns)
9. Add Revenue Check column (Qty × Price)
10. Add IFERROR() around any broken formulas</t>
  </si>
  <si>
    <t>Data Cleaning: TRIM, PROPER, Find &amp; Replace, IFERROR, Remove Duplicates</t>
  </si>
  <si>
    <t>PRODUCT CATALOGUE</t>
  </si>
  <si>
    <t>11. Use XLOOKUP to pull Product Name, Category and Cost Price into Sales sheet
12. Add a Profit column (Revenue - Cost)
13. Add a Profit Margin % column</t>
  </si>
  <si>
    <t>XLOOKUP (absolute refs), Calculated Columns</t>
  </si>
  <si>
    <t>STAFF TABLE</t>
  </si>
  <si>
    <t>14. Use XLOOKUP to pull Rep Name, Branch and Commission Rate into Sales sheet
15. Add Commission Earned column (Revenue × Rate)
16. Add a Performance Flag: 'Star' if Revenue &gt;R20,000, else 'Standard'</t>
  </si>
  <si>
    <t>XLOOKUP, IF statements</t>
  </si>
  <si>
    <t>CLEANED DATA</t>
  </si>
  <si>
    <t>17. Paste all cleaned and enriched data here
18. Format as Excel Table (Ctrl+T)
19. Apply currency formatting to all money columns
20. Freeze top row</t>
  </si>
  <si>
    <t>Table formatting, Number formatting</t>
  </si>
  <si>
    <t>REPORT SHEET</t>
  </si>
  <si>
    <t>21. Build PivotTable 1: Revenue by Branch
22. Build PivotTable 2: Revenue by Product Category
23. Build PivotTable 3: Top Sales Reps
24. Build PivotTable 4: Revenue by Month
25. Create Bar Chart from PivotTable 1
26. Create Pie Chart from PivotTable 2
27. Create sorted Bar Chart from PivotTable 3
28. Create Line Chart from PivotTable 4
29. Fill in the Executive Summary section
30. Add Slicers to filter by Branch and Month</t>
  </si>
  <si>
    <t>PivotTables, Charts, Slicers</t>
  </si>
  <si>
    <t>STRETCH CHALLENGES (BONUS)</t>
  </si>
  <si>
    <t>Add a COUNTIF to count how many orders each branch placed</t>
  </si>
  <si>
    <t>Use AVERAGEIF to find average order value per region</t>
  </si>
  <si>
    <t>Add conditional formatting: top 10% revenue rows in green, bottom 10% in red</t>
  </si>
  <si>
    <t>Add a dropdown validation list for the Status column</t>
  </si>
  <si>
    <t>ProductID</t>
  </si>
  <si>
    <t>Product Name</t>
  </si>
  <si>
    <t>Category</t>
  </si>
  <si>
    <t>Unit Price (R)</t>
  </si>
  <si>
    <t>Cost Price (R)</t>
  </si>
  <si>
    <t>Supplier</t>
  </si>
  <si>
    <t>PR01</t>
  </si>
  <si>
    <t>Gaming Laptop</t>
  </si>
  <si>
    <t>Electronics</t>
  </si>
  <si>
    <t>TechSource SA</t>
  </si>
  <si>
    <t>PR02</t>
  </si>
  <si>
    <t>Office Chair</t>
  </si>
  <si>
    <t>Furniture</t>
  </si>
  <si>
    <t>FurniPro</t>
  </si>
  <si>
    <t>PR03</t>
  </si>
  <si>
    <t>Wireless Headset</t>
  </si>
  <si>
    <t>PR04</t>
  </si>
  <si>
    <t>Standing Desk</t>
  </si>
  <si>
    <t>PR05</t>
  </si>
  <si>
    <t>Webcam HD</t>
  </si>
  <si>
    <t>PR06</t>
  </si>
  <si>
    <t>Notebook Bundle</t>
  </si>
  <si>
    <t>Stationery</t>
  </si>
  <si>
    <t>PaperWorks</t>
  </si>
  <si>
    <t>PR07</t>
  </si>
  <si>
    <t>Mechanical Keyboard</t>
  </si>
  <si>
    <t>PR08</t>
  </si>
  <si>
    <t>Whiteboard</t>
  </si>
  <si>
    <t>PR09</t>
  </si>
  <si>
    <t>Monitor 27inch</t>
  </si>
  <si>
    <t>PR10</t>
  </si>
  <si>
    <t>Ergonomic Mouse</t>
  </si>
  <si>
    <t>PR11</t>
  </si>
  <si>
    <t>Filing Cabinet</t>
  </si>
  <si>
    <t>PR12</t>
  </si>
  <si>
    <t>Printer Paper Ream</t>
  </si>
  <si>
    <t>EmpID</t>
  </si>
  <si>
    <t>Rep Name</t>
  </si>
  <si>
    <t>Branch</t>
  </si>
  <si>
    <t>Region</t>
  </si>
  <si>
    <t>Commission Rate</t>
  </si>
  <si>
    <t>Target (R)</t>
  </si>
  <si>
    <t>EM01</t>
  </si>
  <si>
    <t>Thabo Nkosi</t>
  </si>
  <si>
    <t>Sandton Branch</t>
  </si>
  <si>
    <t>Gauteng</t>
  </si>
  <si>
    <t>EM02</t>
  </si>
  <si>
    <t>Priya Pillay</t>
  </si>
  <si>
    <t>Durban Branch</t>
  </si>
  <si>
    <t>KZN</t>
  </si>
  <si>
    <t>EM03</t>
  </si>
  <si>
    <t>Zanele Dlamini</t>
  </si>
  <si>
    <t>Cape Town Branch</t>
  </si>
  <si>
    <t>Western Cape</t>
  </si>
  <si>
    <t>EM04</t>
  </si>
  <si>
    <t>Riaan Botha</t>
  </si>
  <si>
    <t>EM05</t>
  </si>
  <si>
    <t>Amahle Zulu</t>
  </si>
  <si>
    <t>EM06</t>
  </si>
  <si>
    <t>Lebo Mahlangu</t>
  </si>
  <si>
    <t>Polokwane Branch</t>
  </si>
  <si>
    <t>Limpopo</t>
  </si>
  <si>
    <t>EM07</t>
  </si>
  <si>
    <t>Fatima Patel</t>
  </si>
  <si>
    <t>EM08</t>
  </si>
  <si>
    <t>Kefilwe Sithole</t>
  </si>
  <si>
    <t>EM09</t>
  </si>
  <si>
    <t>David Moyo</t>
  </si>
  <si>
    <t>EM10</t>
  </si>
  <si>
    <t>Sipho Dlamini</t>
  </si>
  <si>
    <t>TxnID</t>
  </si>
  <si>
    <t>Date</t>
  </si>
  <si>
    <t>CustomerName</t>
  </si>
  <si>
    <t>Quantity</t>
  </si>
  <si>
    <t>Total Revenue (R)</t>
  </si>
  <si>
    <t>Status</t>
  </si>
  <si>
    <t>Rep Name ← XLOOKUP</t>
  </si>
  <si>
    <t>Product Name ← XLOOKUP</t>
  </si>
  <si>
    <t>Revenue Check ← CALCULATE</t>
  </si>
  <si>
    <t>Profit (R)</t>
  </si>
  <si>
    <t>Profit Margin %</t>
  </si>
  <si>
    <t>Commission Earned (R)</t>
  </si>
  <si>
    <t>Performance Flag</t>
  </si>
  <si>
    <t>TXN001</t>
  </si>
  <si>
    <t>2026-01-05</t>
  </si>
  <si>
    <t>TXN002</t>
  </si>
  <si>
    <t>05/01/2026</t>
  </si>
  <si>
    <t>TXN003</t>
  </si>
  <si>
    <t>2026-01-06</t>
  </si>
  <si>
    <t>COMPLETED</t>
  </si>
  <si>
    <t>TXN004</t>
  </si>
  <si>
    <t>TXN005</t>
  </si>
  <si>
    <t>2026-01-07</t>
  </si>
  <si>
    <t>TXN006</t>
  </si>
  <si>
    <t>TXN007</t>
  </si>
  <si>
    <t>07/01/2026</t>
  </si>
  <si>
    <t>TXN008</t>
  </si>
  <si>
    <t>2026-01-08</t>
  </si>
  <si>
    <t>TXN009</t>
  </si>
  <si>
    <t>Nomsa Khumalo</t>
  </si>
  <si>
    <t>TXN010</t>
  </si>
  <si>
    <t>2026-01-09</t>
  </si>
  <si>
    <t>Pieter van Wyk</t>
  </si>
  <si>
    <t>TXN011</t>
  </si>
  <si>
    <t>TXN012</t>
  </si>
  <si>
    <t>09/01/2026</t>
  </si>
  <si>
    <t>TXN013</t>
  </si>
  <si>
    <t>2026-01-10</t>
  </si>
  <si>
    <t>TXN014</t>
  </si>
  <si>
    <t>TXN015</t>
  </si>
  <si>
    <t>2026-01-11</t>
  </si>
  <si>
    <t>Zanele Mokoena</t>
  </si>
  <si>
    <t>TXN016</t>
  </si>
  <si>
    <t>2026-01-12</t>
  </si>
  <si>
    <t>TXN017</t>
  </si>
  <si>
    <t>12/01/2026</t>
  </si>
  <si>
    <t>TXN018</t>
  </si>
  <si>
    <t>2026-01-13</t>
  </si>
  <si>
    <t>TXN019</t>
  </si>
  <si>
    <t>em06</t>
  </si>
  <si>
    <t>TXN020</t>
  </si>
  <si>
    <t>2026-01-14</t>
  </si>
  <si>
    <t>TXN021</t>
  </si>
  <si>
    <t>2026-01-15</t>
  </si>
  <si>
    <t>PENDING</t>
  </si>
  <si>
    <t>TXN022</t>
  </si>
  <si>
    <t>15/01/2026</t>
  </si>
  <si>
    <t>TXN023</t>
  </si>
  <si>
    <t>2026-01-16</t>
  </si>
  <si>
    <t>TXN024</t>
  </si>
  <si>
    <t>TXN025</t>
  </si>
  <si>
    <t>2026-01-17</t>
  </si>
  <si>
    <t>TXN026</t>
  </si>
  <si>
    <t>2026-01-19</t>
  </si>
  <si>
    <t>TXN027</t>
  </si>
  <si>
    <t>19/01/2026</t>
  </si>
  <si>
    <t>TXN028</t>
  </si>
  <si>
    <t>2026-01-20</t>
  </si>
  <si>
    <t>N/A</t>
  </si>
  <si>
    <t>TXN029</t>
  </si>
  <si>
    <t>TXN030</t>
  </si>
  <si>
    <t>2026-01-21</t>
  </si>
  <si>
    <t>TXN031</t>
  </si>
  <si>
    <t>2026-02-03</t>
  </si>
  <si>
    <t>TXN032</t>
  </si>
  <si>
    <t>03/02/2026</t>
  </si>
  <si>
    <t>TXN033</t>
  </si>
  <si>
    <t>2026-02-04</t>
  </si>
  <si>
    <t>TXN034</t>
  </si>
  <si>
    <t>TXN035</t>
  </si>
  <si>
    <t>2026-02-05</t>
  </si>
  <si>
    <t>TXN036</t>
  </si>
  <si>
    <t>TXN037</t>
  </si>
  <si>
    <t>05/02/2026</t>
  </si>
  <si>
    <t>TXN038</t>
  </si>
  <si>
    <t>2026-02-06</t>
  </si>
  <si>
    <t>TXN039</t>
  </si>
  <si>
    <t>2026-02-07</t>
  </si>
  <si>
    <t>TXN040</t>
  </si>
  <si>
    <t>TXN041</t>
  </si>
  <si>
    <t>2026-02-10</t>
  </si>
  <si>
    <t>TXN042</t>
  </si>
  <si>
    <t>10/02/2026</t>
  </si>
  <si>
    <t>TXN043</t>
  </si>
  <si>
    <t>2026-02-11</t>
  </si>
  <si>
    <t>TXN044</t>
  </si>
  <si>
    <t>TXN045</t>
  </si>
  <si>
    <t>2026-02-12</t>
  </si>
  <si>
    <t>TXN046</t>
  </si>
  <si>
    <t>em08</t>
  </si>
  <si>
    <t>TXN047</t>
  </si>
  <si>
    <t>12/02/2026</t>
  </si>
  <si>
    <t>TXN048</t>
  </si>
  <si>
    <t>2026-02-13</t>
  </si>
  <si>
    <t>TXN049</t>
  </si>
  <si>
    <t>2026-02-14</t>
  </si>
  <si>
    <t>TXN050</t>
  </si>
  <si>
    <t>2026-02-17</t>
  </si>
  <si>
    <t>TBC</t>
  </si>
  <si>
    <t>TXN051</t>
  </si>
  <si>
    <t>2026-02-18</t>
  </si>
  <si>
    <t>TXN052</t>
  </si>
  <si>
    <t>18/02/2026</t>
  </si>
  <si>
    <t>TXN053</t>
  </si>
  <si>
    <t>2026-02-19</t>
  </si>
  <si>
    <t>TXN054</t>
  </si>
  <si>
    <t>TXN055</t>
  </si>
  <si>
    <t>2026-02-20</t>
  </si>
  <si>
    <t>TXN056</t>
  </si>
  <si>
    <t>20/02/2026</t>
  </si>
  <si>
    <t>TXN057</t>
  </si>
  <si>
    <t>2026-02-21</t>
  </si>
  <si>
    <t>TXN058</t>
  </si>
  <si>
    <t>2026-02-24</t>
  </si>
  <si>
    <t>TXN059</t>
  </si>
  <si>
    <t>24/02/2026</t>
  </si>
  <si>
    <t>TXN060</t>
  </si>
  <si>
    <t>2026-02-25</t>
  </si>
  <si>
    <t>TXN061</t>
  </si>
  <si>
    <t>2026-03-03</t>
  </si>
  <si>
    <t>TXN062</t>
  </si>
  <si>
    <t>03/03/2026</t>
  </si>
  <si>
    <t>TXN063</t>
  </si>
  <si>
    <t>2026-03-04</t>
  </si>
  <si>
    <t>TXN064</t>
  </si>
  <si>
    <t>TXN065</t>
  </si>
  <si>
    <t>2026-03-05</t>
  </si>
  <si>
    <t>TXN066</t>
  </si>
  <si>
    <t>TXN067</t>
  </si>
  <si>
    <t>05/03/2026</t>
  </si>
  <si>
    <t>TXN068</t>
  </si>
  <si>
    <t>2026-03-06</t>
  </si>
  <si>
    <t>TXN069</t>
  </si>
  <si>
    <t>TXN070</t>
  </si>
  <si>
    <t>2026-03-07</t>
  </si>
  <si>
    <t>TXN071</t>
  </si>
  <si>
    <t>07/03/2026</t>
  </si>
  <si>
    <t>TXN072</t>
  </si>
  <si>
    <t>2026-03-10</t>
  </si>
  <si>
    <t>TXN073</t>
  </si>
  <si>
    <t>TXN074</t>
  </si>
  <si>
    <t>10/03/2026</t>
  </si>
  <si>
    <t>TXN075</t>
  </si>
  <si>
    <t>2026-03-11</t>
  </si>
  <si>
    <t>TXN076</t>
  </si>
  <si>
    <t>TXN077</t>
  </si>
  <si>
    <t>11/03/2026</t>
  </si>
  <si>
    <t>TXN078</t>
  </si>
  <si>
    <t>2026-03-12</t>
  </si>
  <si>
    <t>TXN079</t>
  </si>
  <si>
    <t>2026-03-13</t>
  </si>
  <si>
    <t>TXN080</t>
  </si>
  <si>
    <t>2026-03-14</t>
  </si>
  <si>
    <t>Q1 2026 BUSINESS PERFORMANCE REPORT — BOARD PRESENTATION</t>
  </si>
  <si>
    <t>Prepared by: Anotida Kanzara</t>
  </si>
  <si>
    <t>Period: January – March 2026</t>
  </si>
  <si>
    <t>Status: DRAFT</t>
  </si>
  <si>
    <t>EXECUTIVE SUMMARY</t>
  </si>
  <si>
    <t>SECTION 1 — REVENUE BY BRANCH</t>
  </si>
  <si>
    <t>Total Transactions</t>
  </si>
  <si>
    <t>Total Profit (R)</t>
  </si>
  <si>
    <t>% of Total Revenue</t>
  </si>
  <si>
    <t>GRAND TOTAL</t>
  </si>
  <si>
    <t>SECTION 2 — REVENUE BY PRODUCT CATEGORY</t>
  </si>
  <si>
    <t>Avg Order Value (R)</t>
  </si>
  <si>
    <t>SECTION 3 — TOP SALES REPS</t>
  </si>
  <si>
    <t>SECTION 4 — MONTHLY REVENUE TREND</t>
  </si>
  <si>
    <t>Month</t>
  </si>
  <si>
    <t>Month-on-Month Change</t>
  </si>
  <si>
    <t>January 2026</t>
  </si>
  <si>
    <t>February 2026</t>
  </si>
  <si>
    <t>March 2026</t>
  </si>
  <si>
    <t>SECTION 5 — ORDERS REQUIRING INVESTIGATION</t>
  </si>
  <si>
    <t>Issue</t>
  </si>
  <si>
    <t>Action Required</t>
  </si>
  <si>
    <t>Assigned To</t>
  </si>
  <si>
    <t>Priority</t>
  </si>
  <si>
    <t>Revenue mismatch recorded vs correct</t>
  </si>
  <si>
    <t>Verify with sales rep</t>
  </si>
  <si>
    <t>High</t>
  </si>
  <si>
    <t>Negative quantity — possible return</t>
  </si>
  <si>
    <t>Confirm with manager</t>
  </si>
  <si>
    <t>Medium</t>
  </si>
  <si>
    <t>Revenue shows N/A</t>
  </si>
  <si>
    <t>Get correct figure from rep</t>
  </si>
  <si>
    <t>Revenue shows TBC</t>
  </si>
  <si>
    <t>Rows 8,16,38,47,69</t>
  </si>
  <si>
    <t>Missing customer name</t>
  </si>
  <si>
    <t>Identify from order system</t>
  </si>
  <si>
    <t>CHARTS GO BELOW THIS ROW</t>
  </si>
  <si>
    <t>Insert: Bar Chart (Branch Revenue) | Pie Chart (Category Split) | Bar Chart (Top Reps) | Line Chart (Monthly Trend)</t>
  </si>
  <si>
    <t/>
  </si>
  <si>
    <t>CANCELLED</t>
  </si>
  <si>
    <t>RETURNED</t>
  </si>
  <si>
    <t>good</t>
  </si>
  <si>
    <t>false</t>
  </si>
  <si>
    <t xml:space="preserve">Rep Name </t>
  </si>
  <si>
    <t xml:space="preserve">Product Name </t>
  </si>
  <si>
    <t xml:space="preserve">Revenue Check </t>
  </si>
  <si>
    <r>
      <t xml:space="preserve">Total Q1 Revenue (R): </t>
    </r>
    <r>
      <rPr>
        <b/>
        <sz val="8"/>
        <color rgb="FF000000"/>
        <rFont val="Arial"/>
        <family val="2"/>
      </rPr>
      <t>499 030.00</t>
    </r>
  </si>
  <si>
    <t>Good</t>
  </si>
  <si>
    <t>Needs Investigation</t>
  </si>
  <si>
    <r>
      <t xml:space="preserve">Best Performing Branch: </t>
    </r>
    <r>
      <rPr>
        <b/>
        <sz val="10"/>
        <color rgb="FF000000"/>
        <rFont val="Arial"/>
        <family val="2"/>
      </rPr>
      <t>Sandton Branch</t>
    </r>
  </si>
  <si>
    <r>
      <t xml:space="preserve">Best Selling Category: </t>
    </r>
    <r>
      <rPr>
        <b/>
        <sz val="10"/>
        <color rgb="FF000000"/>
        <rFont val="Arial"/>
        <family val="2"/>
      </rPr>
      <t>Electronics</t>
    </r>
  </si>
  <si>
    <r>
      <t>Total Profit (R):</t>
    </r>
    <r>
      <rPr>
        <b/>
        <sz val="10"/>
        <color rgb="FF000000"/>
        <rFont val="Arial"/>
        <family val="2"/>
      </rPr>
      <t>335 345.00</t>
    </r>
  </si>
  <si>
    <r>
      <t xml:space="preserve">Total Transactions: </t>
    </r>
    <r>
      <rPr>
        <b/>
        <sz val="10"/>
        <color rgb="FF000000"/>
        <rFont val="Arial"/>
        <family val="2"/>
      </rPr>
      <t>80</t>
    </r>
  </si>
  <si>
    <r>
      <t>Top Sales Rep:</t>
    </r>
    <r>
      <rPr>
        <b/>
        <sz val="10"/>
        <color rgb="FF000000"/>
        <rFont val="Arial"/>
        <family val="2"/>
      </rPr>
      <t xml:space="preserve"> Kefilwe Sithole</t>
    </r>
  </si>
  <si>
    <r>
      <t>Total Commission Paid (R):</t>
    </r>
    <r>
      <rPr>
        <b/>
        <sz val="10"/>
        <color rgb="FF000000"/>
        <rFont val="Arial"/>
        <family val="2"/>
      </rPr>
      <t xml:space="preserve"> 32 316</t>
    </r>
  </si>
  <si>
    <r>
      <t>Avg Profit Margin %:</t>
    </r>
    <r>
      <rPr>
        <b/>
        <sz val="10"/>
        <color rgb="FF000000"/>
        <rFont val="Arial"/>
        <family val="2"/>
      </rPr>
      <t xml:space="preserve"> 62</t>
    </r>
  </si>
  <si>
    <t>Date: 5/17/2026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</si>
</sst>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yyyy\-mm\-dd;@"/>
    <numFmt numFmtId="166" formatCode="_-[$R-1C09]* #,##0.00_-;\-[$R-1C09]* #,##0.00_-;_-[$R-1C09]* &quot;-&quot;??_-;_-@_-"/>
    <numFmt numFmtId="167" formatCode="[$-409]mmmm\ d\,\ yyyy;@"/>
    <numFmt numFmtId="169" formatCode="[$-409]d\-mmm\-yyyy;@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1B3A6B"/>
      <name val="Arial"/>
    </font>
    <font>
      <b/>
      <sz val="10"/>
      <color rgb="FFFFFFFF"/>
      <name val="Arial"/>
    </font>
    <font>
      <sz val="9"/>
      <color rgb="FF000000"/>
      <name val="Arial"/>
    </font>
    <font>
      <i/>
      <sz val="9"/>
      <color rgb="FF888888"/>
      <name val="Arial"/>
    </font>
    <font>
      <sz val="10"/>
      <color rgb="FF000000"/>
      <name val="Arial"/>
    </font>
    <font>
      <b/>
      <sz val="14"/>
      <color rgb="FFFFFFFF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EBF0FA"/>
      </patternFill>
    </fill>
    <fill>
      <patternFill patternType="solid">
        <fgColor rgb="FF1E6B3A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B71C1C"/>
      </patternFill>
    </fill>
    <fill>
      <patternFill patternType="solid">
        <fgColor rgb="FF7B1FA2"/>
      </patternFill>
    </fill>
    <fill>
      <patternFill patternType="solid">
        <fgColor rgb="FF00695C"/>
      </patternFill>
    </fill>
    <fill>
      <patternFill patternType="solid">
        <fgColor rgb="FFFFEBE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left" vertical="center" wrapText="1"/>
    </xf>
    <xf numFmtId="0" fontId="7" fillId="0" borderId="0" xfId="0" applyFont="1"/>
    <xf numFmtId="0" fontId="9" fillId="2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12" borderId="0" xfId="0" applyFont="1" applyFill="1" applyAlignment="1">
      <alignment vertical="center" wrapText="1"/>
    </xf>
    <xf numFmtId="165" fontId="5" fillId="9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4" fontId="6" fillId="12" borderId="0" xfId="0" applyNumberFormat="1" applyFont="1" applyFill="1" applyAlignment="1">
      <alignment horizontal="left" vertical="center" wrapText="1"/>
    </xf>
    <xf numFmtId="14" fontId="6" fillId="0" borderId="0" xfId="0" applyNumberFormat="1" applyFont="1" applyAlignment="1">
      <alignment horizontal="left" vertical="center" wrapText="1"/>
    </xf>
    <xf numFmtId="0" fontId="6" fillId="13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5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9" fontId="6" fillId="12" borderId="0" xfId="1" applyFont="1" applyFill="1" applyAlignment="1">
      <alignment horizontal="left" vertical="center" wrapText="1"/>
    </xf>
    <xf numFmtId="9" fontId="0" fillId="0" borderId="0" xfId="1" applyFont="1"/>
    <xf numFmtId="0" fontId="0" fillId="15" borderId="0" xfId="0" applyFill="1"/>
    <xf numFmtId="9" fontId="0" fillId="15" borderId="0" xfId="1" applyFont="1" applyFill="1"/>
    <xf numFmtId="0" fontId="0" fillId="13" borderId="0" xfId="0" applyFill="1"/>
    <xf numFmtId="9" fontId="0" fillId="13" borderId="0" xfId="1" applyFont="1" applyFill="1"/>
    <xf numFmtId="166" fontId="8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9" fontId="8" fillId="0" borderId="0" xfId="1" applyFont="1" applyAlignment="1">
      <alignment vertical="center" wrapText="1"/>
    </xf>
    <xf numFmtId="0" fontId="11" fillId="4" borderId="0" xfId="0" applyFont="1" applyFill="1" applyAlignment="1">
      <alignment vertical="center" wrapText="1"/>
    </xf>
    <xf numFmtId="9" fontId="13" fillId="0" borderId="0" xfId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13" borderId="0" xfId="0" applyFont="1" applyFill="1" applyAlignment="1">
      <alignment vertical="center" wrapText="1"/>
    </xf>
    <xf numFmtId="0" fontId="11" fillId="16" borderId="0" xfId="0" applyFont="1" applyFill="1" applyAlignment="1">
      <alignment vertical="center" wrapText="1"/>
    </xf>
    <xf numFmtId="167" fontId="0" fillId="0" borderId="0" xfId="0" applyNumberFormat="1"/>
    <xf numFmtId="169" fontId="0" fillId="0" borderId="0" xfId="0" applyNumberFormat="1"/>
    <xf numFmtId="169" fontId="0" fillId="13" borderId="0" xfId="0" applyNumberFormat="1" applyFill="1"/>
    <xf numFmtId="169" fontId="0" fillId="15" borderId="0" xfId="0" applyNumberFormat="1" applyFill="1"/>
    <xf numFmtId="0" fontId="13" fillId="0" borderId="0" xfId="0" applyFont="1" applyAlignment="1">
      <alignment vertical="center" wrapText="1"/>
    </xf>
    <xf numFmtId="2" fontId="8" fillId="0" borderId="0" xfId="0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Branch Revenue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'BOARD REPORT'!$C$27</c:f>
              <c:strCache>
                <c:ptCount val="1"/>
                <c:pt idx="0">
                  <c:v>Total Revenue (R)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'BOARD REPORT'!$B$28:$B$33</c:f>
              <c:strCache>
                <c:ptCount val="6"/>
                <c:pt idx="0">
                  <c:v>Sandton Branch</c:v>
                </c:pt>
                <c:pt idx="1">
                  <c:v>Sandton Branch</c:v>
                </c:pt>
                <c:pt idx="2">
                  <c:v>Cape Town Branch</c:v>
                </c:pt>
                <c:pt idx="3">
                  <c:v>Cape Town Branch</c:v>
                </c:pt>
                <c:pt idx="4">
                  <c:v>Durban Branch</c:v>
                </c:pt>
                <c:pt idx="5">
                  <c:v>Durban Branch</c:v>
                </c:pt>
              </c:strCache>
            </c:strRef>
          </c:cat>
          <c:val>
            <c:numRef>
              <c:f>'BOARD REPORT'!$C$28:$C$33</c:f>
              <c:numCache>
                <c:formatCode>General</c:formatCode>
                <c:ptCount val="6"/>
                <c:pt idx="0">
                  <c:v>90300</c:v>
                </c:pt>
                <c:pt idx="1">
                  <c:v>58270</c:v>
                </c:pt>
                <c:pt idx="2">
                  <c:v>56260</c:v>
                </c:pt>
                <c:pt idx="3">
                  <c:v>53800</c:v>
                </c:pt>
                <c:pt idx="4">
                  <c:v>52200</c:v>
                </c:pt>
                <c:pt idx="5">
                  <c:v>47410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3-4AF1-B295-8FBC9608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8805232"/>
        <c:axId val="1238795632"/>
      </c:barChart>
      <c:catAx>
        <c:axId val="12388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95632"/>
        <c:crosses val="autoZero"/>
        <c:auto val="1"/>
        <c:lblAlgn val="ctr"/>
        <c:lblOffset val="100"/>
        <c:noMultiLvlLbl val="0"/>
      </c:catAx>
      <c:valAx>
        <c:axId val="12387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05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Split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'BOARD REPORT'!$C$20</c:f>
              <c:strCache>
                <c:ptCount val="1"/>
                <c:pt idx="0">
                  <c:v>Total Revenue (R)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'BOARD REPORT'!$A$21:$A$24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GRAND TOTAL</c:v>
                </c:pt>
              </c:strCache>
            </c:strRef>
          </c:cat>
          <c:val>
            <c:numRef>
              <c:f>'BOARD REPORT'!$C$21:$C$24</c:f>
              <c:numCache>
                <c:formatCode>General</c:formatCode>
                <c:ptCount val="4"/>
                <c:pt idx="0">
                  <c:v>346150</c:v>
                </c:pt>
                <c:pt idx="1">
                  <c:v>92000</c:v>
                </c:pt>
                <c:pt idx="2">
                  <c:v>60880</c:v>
                </c:pt>
                <c:pt idx="3">
                  <c:v>499030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C-4AFB-AB64-93F57981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'BOARD REPORT'!$B$20</c15:sqref>
                        </c15:formulaRef>
                      </c:ext>
                    </c:extLst>
                    <c:strCache>
                      <c:ptCount val="1"/>
                      <c:pt idx="0">
                        <c:v>Total Transactions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2"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4">
                            <a:shade val="51000"/>
                            <a:satMod val="130000"/>
                          </a:schemeClr>
                        </a:gs>
                        <a:gs pos="80000">
                          <a:schemeClr val="accent4">
                            <a:shade val="93000"/>
                            <a:satMod val="130000"/>
                          </a:schemeClr>
                        </a:gs>
                        <a:gs pos="100000">
                          <a:schemeClr val="accent4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6">
                            <a:shade val="51000"/>
                            <a:satMod val="130000"/>
                          </a:schemeClr>
                        </a:gs>
                        <a:gs pos="80000">
                          <a:schemeClr val="accent6">
                            <a:shade val="93000"/>
                            <a:satMod val="130000"/>
                          </a:schemeClr>
                        </a:gs>
                        <a:gs pos="100000">
                          <a:schemeClr val="accent6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'BOARD REPORT'!$A$21:$A$24</c15:sqref>
                        </c15:formulaRef>
                      </c:ext>
                    </c:extLst>
                    <c:strCache>
                      <c:ptCount val="4"/>
                      <c:pt idx="0">
                        <c:v>Electronics</c:v>
                      </c:pt>
                      <c:pt idx="1">
                        <c:v>Furniture</c:v>
                      </c:pt>
                      <c:pt idx="2">
                        <c:v>Stationery</c:v>
                      </c:pt>
                      <c:pt idx="3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'BOARD REPORT'!$B$21:$B$24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44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75C-4AFB-AB64-93F57981998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reps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28634567387687"/>
          <c:y val="8.3118853727820532E-2"/>
          <c:w val="0.79255381655574042"/>
          <c:h val="0.623343969968973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'BOARD REPORT'!$C$27</c:f>
              <c:strCache>
                <c:ptCount val="1"/>
                <c:pt idx="0">
                  <c:v>Total Revenue (R)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'BOARD REPORT'!$A$28:$B$33</c:f>
              <c:multiLvlStrCache>
                <c:ptCount val="6"/>
                <c:lvl>
                  <c:pt idx="0">
                    <c:v>Sandton Branch</c:v>
                  </c:pt>
                  <c:pt idx="1">
                    <c:v>Sandton Branch</c:v>
                  </c:pt>
                  <c:pt idx="2">
                    <c:v>Cape Town Branch</c:v>
                  </c:pt>
                  <c:pt idx="3">
                    <c:v>Cape Town Branch</c:v>
                  </c:pt>
                  <c:pt idx="4">
                    <c:v>Durban Branch</c:v>
                  </c:pt>
                  <c:pt idx="5">
                    <c:v>Durban Branch</c:v>
                  </c:pt>
                </c:lvl>
                <c:lvl>
                  <c:pt idx="0">
                    <c:v>Kefilwe Sithole</c:v>
                  </c:pt>
                  <c:pt idx="1">
                    <c:v>Thabo Nkosi</c:v>
                  </c:pt>
                  <c:pt idx="2">
                    <c:v>Fatima Patel</c:v>
                  </c:pt>
                  <c:pt idx="3">
                    <c:v>Zanele Dlamini</c:v>
                  </c:pt>
                  <c:pt idx="4">
                    <c:v>Amahle Zulu</c:v>
                  </c:pt>
                  <c:pt idx="5">
                    <c:v>Priya Pillay</c:v>
                  </c:pt>
                </c:lvl>
              </c:multiLvlStrCache>
            </c:multiLvlStrRef>
          </c:cat>
          <c:val>
            <c:numRef>
              <c:f>'BOARD REPORT'!$C$28:$C$33</c:f>
              <c:numCache>
                <c:formatCode>General</c:formatCode>
                <c:ptCount val="6"/>
                <c:pt idx="0">
                  <c:v>90300</c:v>
                </c:pt>
                <c:pt idx="1">
                  <c:v>58270</c:v>
                </c:pt>
                <c:pt idx="2">
                  <c:v>56260</c:v>
                </c:pt>
                <c:pt idx="3">
                  <c:v>53800</c:v>
                </c:pt>
                <c:pt idx="4">
                  <c:v>52200</c:v>
                </c:pt>
                <c:pt idx="5">
                  <c:v>47410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A-44BE-A5D8-FB39C22A6166}"/>
            </c:ext>
          </c:extLst>
        </c:ser>
        <c:ser>
          <c:idx val="1"/>
          <c:order val="1"/>
          <c:tx>
            <c:strRef>
              <c:f>'BOARD REPORT'!$D$27</c:f>
              <c:strCache>
                <c:ptCount val="1"/>
                <c:pt idx="0">
                  <c:v>Commission Earned (R)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multiLvlStrRef>
              <c:f>'BOARD REPORT'!$A$28:$B$33</c:f>
              <c:multiLvlStrCache>
                <c:ptCount val="6"/>
                <c:lvl>
                  <c:pt idx="0">
                    <c:v>Sandton Branch</c:v>
                  </c:pt>
                  <c:pt idx="1">
                    <c:v>Sandton Branch</c:v>
                  </c:pt>
                  <c:pt idx="2">
                    <c:v>Cape Town Branch</c:v>
                  </c:pt>
                  <c:pt idx="3">
                    <c:v>Cape Town Branch</c:v>
                  </c:pt>
                  <c:pt idx="4">
                    <c:v>Durban Branch</c:v>
                  </c:pt>
                  <c:pt idx="5">
                    <c:v>Durban Branch</c:v>
                  </c:pt>
                </c:lvl>
                <c:lvl>
                  <c:pt idx="0">
                    <c:v>Kefilwe Sithole</c:v>
                  </c:pt>
                  <c:pt idx="1">
                    <c:v>Thabo Nkosi</c:v>
                  </c:pt>
                  <c:pt idx="2">
                    <c:v>Fatima Patel</c:v>
                  </c:pt>
                  <c:pt idx="3">
                    <c:v>Zanele Dlamini</c:v>
                  </c:pt>
                  <c:pt idx="4">
                    <c:v>Amahle Zulu</c:v>
                  </c:pt>
                  <c:pt idx="5">
                    <c:v>Priya Pillay</c:v>
                  </c:pt>
                </c:lvl>
              </c:multiLvlStrCache>
            </c:multiLvlStrRef>
          </c:cat>
          <c:val>
            <c:numRef>
              <c:f>'BOARD REPORT'!$D$28:$D$33</c:f>
              <c:numCache>
                <c:formatCode>General</c:formatCode>
                <c:ptCount val="6"/>
                <c:pt idx="0">
                  <c:v>7464</c:v>
                </c:pt>
                <c:pt idx="1">
                  <c:v>4661.6000000000004</c:v>
                </c:pt>
                <c:pt idx="2">
                  <c:v>5513.4</c:v>
                </c:pt>
                <c:pt idx="3">
                  <c:v>4716</c:v>
                </c:pt>
                <c:pt idx="4">
                  <c:v>5220</c:v>
                </c:pt>
                <c:pt idx="5">
                  <c:v>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A-44BE-A5D8-FB39C22A6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166527680"/>
        <c:axId val="1166524800"/>
        <c:axId val="0"/>
      </c:bar3DChart>
      <c:catAx>
        <c:axId val="116652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24800"/>
        <c:crosses val="autoZero"/>
        <c:auto val="1"/>
        <c:lblAlgn val="ctr"/>
        <c:lblOffset val="100"/>
        <c:noMultiLvlLbl val="0"/>
      </c:catAx>
      <c:valAx>
        <c:axId val="116652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652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'BOARD REPORT'!$A$36</c:f>
              <c:strCache>
                <c:ptCount val="1"/>
                <c:pt idx="0">
                  <c:v>January 2026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'BOARD REPORT'!$B$35:$D$35</c:f>
              <c:strCache>
                <c:ptCount val="3"/>
                <c:pt idx="0">
                  <c:v>Total Transactions</c:v>
                </c:pt>
                <c:pt idx="1">
                  <c:v>Total Revenue (R)</c:v>
                </c:pt>
                <c:pt idx="2">
                  <c:v>Month-on-Month Change</c:v>
                </c:pt>
              </c:strCache>
            </c:strRef>
          </c:cat>
          <c:val>
            <c:numRef>
              <c:f>'BOARD REPORT'!$B$36:$D$36</c:f>
              <c:numCache>
                <c:formatCode>General</c:formatCode>
                <c:ptCount val="3"/>
                <c:pt idx="0">
                  <c:v>30</c:v>
                </c:pt>
                <c:pt idx="1">
                  <c:v>197030</c:v>
                </c:pt>
                <c:pt idx="2">
                  <c:v>197030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9-4D52-BF73-F5AF4C534042}"/>
            </c:ext>
          </c:extLst>
        </c:ser>
        <c:ser>
          <c:idx val="1"/>
          <c:order val="1"/>
          <c:tx>
            <c:strRef>
              <c:f>'BOARD REPORT'!$A$37</c:f>
              <c:strCache>
                <c:ptCount val="1"/>
                <c:pt idx="0">
                  <c:v>February 2026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'BOARD REPORT'!$B$35:$D$35</c:f>
              <c:strCache>
                <c:ptCount val="3"/>
                <c:pt idx="0">
                  <c:v>Total Transactions</c:v>
                </c:pt>
                <c:pt idx="1">
                  <c:v>Total Revenue (R)</c:v>
                </c:pt>
                <c:pt idx="2">
                  <c:v>Month-on-Month Change</c:v>
                </c:pt>
              </c:strCache>
            </c:strRef>
          </c:cat>
          <c:val>
            <c:numRef>
              <c:f>'BOARD REPORT'!$B$37:$D$37</c:f>
              <c:numCache>
                <c:formatCode>General</c:formatCode>
                <c:ptCount val="3"/>
                <c:pt idx="0">
                  <c:v>30</c:v>
                </c:pt>
                <c:pt idx="1">
                  <c:v>184030</c:v>
                </c:pt>
                <c:pt idx="2">
                  <c:v>184028.92935934357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9-4D52-BF73-F5AF4C534042}"/>
            </c:ext>
          </c:extLst>
        </c:ser>
        <c:ser>
          <c:idx val="2"/>
          <c:order val="2"/>
          <c:tx>
            <c:strRef>
              <c:f>'BOARD REPORT'!$A$38</c:f>
              <c:strCache>
                <c:ptCount val="1"/>
                <c:pt idx="0">
                  <c:v>March 2026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'BOARD REPORT'!$B$35:$D$35</c:f>
              <c:strCache>
                <c:ptCount val="3"/>
                <c:pt idx="0">
                  <c:v>Total Transactions</c:v>
                </c:pt>
                <c:pt idx="1">
                  <c:v>Total Revenue (R)</c:v>
                </c:pt>
                <c:pt idx="2">
                  <c:v>Month-on-Month Change</c:v>
                </c:pt>
              </c:strCache>
            </c:strRef>
          </c:cat>
          <c:val>
            <c:numRef>
              <c:f>'BOARD REPORT'!$B$38:$D$38</c:f>
              <c:numCache>
                <c:formatCode>General</c:formatCode>
                <c:ptCount val="3"/>
                <c:pt idx="0">
                  <c:v>20</c:v>
                </c:pt>
                <c:pt idx="1">
                  <c:v>117970</c:v>
                </c:pt>
                <c:pt idx="2">
                  <c:v>117968.44002712554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9-4D52-BF73-F5AF4C534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754832"/>
        <c:axId val="1238756752"/>
      </c:lineChart>
      <c:catAx>
        <c:axId val="12387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56752"/>
        <c:crosses val="autoZero"/>
        <c:auto val="1"/>
        <c:lblAlgn val="ctr"/>
        <c:lblOffset val="100"/>
        <c:noMultiLvlLbl val="0"/>
      </c:catAx>
      <c:valAx>
        <c:axId val="12387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54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53</xdr:row>
      <xdr:rowOff>14286</xdr:rowOff>
    </xdr:from>
    <xdr:to>
      <xdr:col>3</xdr:col>
      <xdr:colOff>1306285</xdr:colOff>
      <xdr:row>74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5D096F-850C-BFDD-D2D9-D4492C101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471485</xdr:colOff>
      <xdr:row>53</xdr:row>
      <xdr:rowOff>14286</xdr:rowOff>
    </xdr:from>
    <xdr:to>
      <xdr:col>10</xdr:col>
      <xdr:colOff>421820</xdr:colOff>
      <xdr:row>74</xdr:row>
      <xdr:rowOff>13607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4BDF7-F813-C940-C0D3-54C4BAD9B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362629</xdr:colOff>
      <xdr:row>74</xdr:row>
      <xdr:rowOff>137431</xdr:rowOff>
    </xdr:from>
    <xdr:to>
      <xdr:col>4</xdr:col>
      <xdr:colOff>1088571</xdr:colOff>
      <xdr:row>101</xdr:row>
      <xdr:rowOff>81642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EEC4AE-5A79-D78A-DAD1-13AE11B4A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27216</xdr:colOff>
      <xdr:row>74</xdr:row>
      <xdr:rowOff>149677</xdr:rowOff>
    </xdr:from>
    <xdr:to>
      <xdr:col>12</xdr:col>
      <xdr:colOff>1632858</xdr:colOff>
      <xdr:row>101</xdr:row>
      <xdr:rowOff>163284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9E5D02-9A0C-40B0-3E9F-16662E655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5" x14ac:dyDescent="0.25"/>
  <cols>
    <col min="1" max="1" width="22" customWidth="1"/>
    <col min="2" max="2" width="55" customWidth="1"/>
    <col min="3" max="3" width="38" customWidth="1"/>
  </cols>
  <sheetData>
    <row r="1" spans="1:3" ht="35.1" customHeight="1" x14ac:dyDescent="0.25">
      <c r="A1" s="1" t="s">
        <v>0</v>
      </c>
      <c r="B1" s="1"/>
      <c r="C1" s="1"/>
    </row>
    <row r="2" spans="1:3" ht="15" customHeight="1" x14ac:dyDescent="0.25">
      <c r="A2" s="2" t="s">
        <v>1</v>
      </c>
      <c r="B2" s="2" t="s">
        <v>2</v>
      </c>
      <c r="C2" s="2"/>
    </row>
    <row r="3" spans="1:3" ht="15" customHeight="1" x14ac:dyDescent="0.25">
      <c r="A3" s="2"/>
      <c r="B3" s="2"/>
      <c r="C3" s="2"/>
    </row>
    <row r="4" spans="1:3" ht="21.95" customHeight="1" x14ac:dyDescent="0.25">
      <c r="A4" s="3" t="s">
        <v>3</v>
      </c>
      <c r="B4" s="3"/>
      <c r="C4" s="3"/>
    </row>
    <row r="5" spans="1:3" ht="15" customHeight="1" x14ac:dyDescent="0.25">
      <c r="A5" s="2" t="s">
        <v>4</v>
      </c>
      <c r="B5" s="2"/>
      <c r="C5" s="2"/>
    </row>
    <row r="6" spans="1:3" ht="15" customHeight="1" x14ac:dyDescent="0.25">
      <c r="A6" s="2" t="s">
        <v>5</v>
      </c>
      <c r="B6" s="2"/>
      <c r="C6" s="2"/>
    </row>
    <row r="7" spans="1:3" ht="15" customHeight="1" x14ac:dyDescent="0.25">
      <c r="A7" s="2"/>
      <c r="B7" s="2"/>
      <c r="C7" s="2"/>
    </row>
    <row r="8" spans="1:3" ht="20.100000000000001" customHeight="1" x14ac:dyDescent="0.25">
      <c r="A8" s="4" t="s">
        <v>6</v>
      </c>
      <c r="B8" s="4" t="s">
        <v>7</v>
      </c>
      <c r="C8" s="4" t="s">
        <v>8</v>
      </c>
    </row>
    <row r="9" spans="1:3" ht="95.1" customHeight="1" x14ac:dyDescent="0.25">
      <c r="A9" s="5" t="s">
        <v>9</v>
      </c>
      <c r="B9" s="2" t="s">
        <v>10</v>
      </c>
      <c r="C9" s="2" t="s">
        <v>11</v>
      </c>
    </row>
    <row r="10" spans="1:3" ht="95.1" customHeight="1" x14ac:dyDescent="0.25">
      <c r="A10" s="5" t="s">
        <v>12</v>
      </c>
      <c r="B10" s="2" t="s">
        <v>13</v>
      </c>
      <c r="C10" s="2" t="s">
        <v>14</v>
      </c>
    </row>
    <row r="11" spans="1:3" ht="95.1" customHeight="1" x14ac:dyDescent="0.25">
      <c r="A11" s="5" t="s">
        <v>15</v>
      </c>
      <c r="B11" s="2" t="s">
        <v>16</v>
      </c>
      <c r="C11" s="2" t="s">
        <v>17</v>
      </c>
    </row>
    <row r="12" spans="1:3" ht="95.1" customHeight="1" x14ac:dyDescent="0.25">
      <c r="A12" s="5" t="s">
        <v>18</v>
      </c>
      <c r="B12" s="2" t="s">
        <v>19</v>
      </c>
      <c r="C12" s="2" t="s">
        <v>20</v>
      </c>
    </row>
    <row r="13" spans="1:3" ht="95.1" customHeight="1" x14ac:dyDescent="0.25">
      <c r="A13" s="5" t="s">
        <v>21</v>
      </c>
      <c r="B13" s="2" t="s">
        <v>22</v>
      </c>
      <c r="C13" s="2" t="s">
        <v>23</v>
      </c>
    </row>
    <row r="14" spans="1:3" ht="15" customHeight="1" x14ac:dyDescent="0.25">
      <c r="A14" s="2"/>
      <c r="B14" s="2"/>
      <c r="C14" s="2"/>
    </row>
    <row r="15" spans="1:3" ht="21.95" customHeight="1" x14ac:dyDescent="0.25">
      <c r="A15" s="3" t="s">
        <v>24</v>
      </c>
      <c r="B15" s="3"/>
      <c r="C15" s="3"/>
    </row>
    <row r="16" spans="1:3" ht="15" customHeight="1" x14ac:dyDescent="0.25">
      <c r="A16" s="2" t="s">
        <v>25</v>
      </c>
      <c r="B16" s="2"/>
      <c r="C16" s="2"/>
    </row>
    <row r="17" spans="1:3" ht="15" customHeight="1" x14ac:dyDescent="0.25">
      <c r="A17" s="2" t="s">
        <v>26</v>
      </c>
      <c r="B17" s="2"/>
      <c r="C17" s="2"/>
    </row>
    <row r="18" spans="1:3" ht="15" customHeight="1" x14ac:dyDescent="0.25">
      <c r="A18" s="2" t="s">
        <v>27</v>
      </c>
      <c r="B18" s="2"/>
      <c r="C18" s="2"/>
    </row>
    <row r="19" spans="1:3" ht="15" customHeight="1" x14ac:dyDescent="0.25">
      <c r="A19" s="2" t="s">
        <v>28</v>
      </c>
      <c r="B19" s="2"/>
      <c r="C1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14" customWidth="1"/>
    <col min="4" max="5" width="16" customWidth="1"/>
    <col min="6" max="6" width="18" customWidth="1"/>
  </cols>
  <sheetData>
    <row r="1" spans="1:6" ht="27.95" customHeight="1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s="7" t="s">
        <v>35</v>
      </c>
      <c r="B2" s="7" t="s">
        <v>36</v>
      </c>
      <c r="C2" s="7" t="s">
        <v>37</v>
      </c>
      <c r="D2" s="7">
        <v>15000</v>
      </c>
      <c r="E2" s="7">
        <v>9800</v>
      </c>
      <c r="F2" s="7" t="s">
        <v>38</v>
      </c>
    </row>
    <row r="3" spans="1:6" x14ac:dyDescent="0.25">
      <c r="A3" s="8" t="s">
        <v>39</v>
      </c>
      <c r="B3" s="8" t="s">
        <v>40</v>
      </c>
      <c r="C3" s="8" t="s">
        <v>41</v>
      </c>
      <c r="D3" s="8">
        <v>3200</v>
      </c>
      <c r="E3" s="8">
        <v>1750</v>
      </c>
      <c r="F3" s="8" t="s">
        <v>42</v>
      </c>
    </row>
    <row r="4" spans="1:6" x14ac:dyDescent="0.25">
      <c r="A4" s="7" t="s">
        <v>43</v>
      </c>
      <c r="B4" s="7" t="s">
        <v>44</v>
      </c>
      <c r="C4" s="7" t="s">
        <v>37</v>
      </c>
      <c r="D4" s="7">
        <v>1800</v>
      </c>
      <c r="E4" s="7">
        <v>950</v>
      </c>
      <c r="F4" s="7" t="s">
        <v>38</v>
      </c>
    </row>
    <row r="5" spans="1:6" x14ac:dyDescent="0.25">
      <c r="A5" s="8" t="s">
        <v>45</v>
      </c>
      <c r="B5" s="8" t="s">
        <v>46</v>
      </c>
      <c r="C5" s="8" t="s">
        <v>41</v>
      </c>
      <c r="D5" s="8">
        <v>5500</v>
      </c>
      <c r="E5" s="8">
        <v>3100</v>
      </c>
      <c r="F5" s="8" t="s">
        <v>42</v>
      </c>
    </row>
    <row r="6" spans="1:6" x14ac:dyDescent="0.25">
      <c r="A6" s="7" t="s">
        <v>47</v>
      </c>
      <c r="B6" s="7" t="s">
        <v>48</v>
      </c>
      <c r="C6" s="7" t="s">
        <v>37</v>
      </c>
      <c r="D6" s="7">
        <v>1200</v>
      </c>
      <c r="E6" s="7">
        <v>620</v>
      </c>
      <c r="F6" s="7" t="s">
        <v>38</v>
      </c>
    </row>
    <row r="7" spans="1:6" x14ac:dyDescent="0.25">
      <c r="A7" s="8" t="s">
        <v>49</v>
      </c>
      <c r="B7" s="8" t="s">
        <v>50</v>
      </c>
      <c r="C7" s="8" t="s">
        <v>51</v>
      </c>
      <c r="D7" s="8">
        <v>350</v>
      </c>
      <c r="E7" s="8">
        <v>140</v>
      </c>
      <c r="F7" s="8" t="s">
        <v>52</v>
      </c>
    </row>
    <row r="8" spans="1:6" x14ac:dyDescent="0.25">
      <c r="A8" s="7" t="s">
        <v>53</v>
      </c>
      <c r="B8" s="7" t="s">
        <v>54</v>
      </c>
      <c r="C8" s="7" t="s">
        <v>37</v>
      </c>
      <c r="D8" s="7">
        <v>2100</v>
      </c>
      <c r="E8" s="7">
        <v>1100</v>
      </c>
      <c r="F8" s="7" t="s">
        <v>38</v>
      </c>
    </row>
    <row r="9" spans="1:6" x14ac:dyDescent="0.25">
      <c r="A9" s="8" t="s">
        <v>55</v>
      </c>
      <c r="B9" s="8" t="s">
        <v>56</v>
      </c>
      <c r="C9" s="8" t="s">
        <v>51</v>
      </c>
      <c r="D9" s="8">
        <v>890</v>
      </c>
      <c r="E9" s="8">
        <v>420</v>
      </c>
      <c r="F9" s="8" t="s">
        <v>52</v>
      </c>
    </row>
    <row r="10" spans="1:6" x14ac:dyDescent="0.25">
      <c r="A10" s="7" t="s">
        <v>57</v>
      </c>
      <c r="B10" s="7" t="s">
        <v>58</v>
      </c>
      <c r="C10" s="7" t="s">
        <v>37</v>
      </c>
      <c r="D10" s="7">
        <v>4800</v>
      </c>
      <c r="E10" s="7">
        <v>2900</v>
      </c>
      <c r="F10" s="7" t="s">
        <v>38</v>
      </c>
    </row>
    <row r="11" spans="1:6" x14ac:dyDescent="0.25">
      <c r="A11" s="8" t="s">
        <v>59</v>
      </c>
      <c r="B11" s="8" t="s">
        <v>60</v>
      </c>
      <c r="C11" s="8" t="s">
        <v>37</v>
      </c>
      <c r="D11" s="8">
        <v>650</v>
      </c>
      <c r="E11" s="8">
        <v>310</v>
      </c>
      <c r="F11" s="8" t="s">
        <v>38</v>
      </c>
    </row>
    <row r="12" spans="1:6" x14ac:dyDescent="0.25">
      <c r="A12" s="7" t="s">
        <v>61</v>
      </c>
      <c r="B12" s="7" t="s">
        <v>62</v>
      </c>
      <c r="C12" s="7" t="s">
        <v>41</v>
      </c>
      <c r="D12" s="7">
        <v>2800</v>
      </c>
      <c r="E12" s="7">
        <v>1600</v>
      </c>
      <c r="F12" s="7" t="s">
        <v>42</v>
      </c>
    </row>
    <row r="13" spans="1:6" x14ac:dyDescent="0.25">
      <c r="A13" s="8" t="s">
        <v>63</v>
      </c>
      <c r="B13" s="8" t="s">
        <v>64</v>
      </c>
      <c r="C13" s="8" t="s">
        <v>51</v>
      </c>
      <c r="D13" s="8">
        <v>120</v>
      </c>
      <c r="E13" s="8">
        <v>55</v>
      </c>
      <c r="F13" s="8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20" customWidth="1"/>
    <col min="4" max="4" width="15" customWidth="1"/>
    <col min="5" max="5" width="17" customWidth="1"/>
    <col min="6" max="6" width="14" customWidth="1"/>
  </cols>
  <sheetData>
    <row r="1" spans="1:6" ht="27.95" customHeight="1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</row>
    <row r="2" spans="1:6" x14ac:dyDescent="0.25">
      <c r="A2" s="10" t="s">
        <v>71</v>
      </c>
      <c r="B2" s="10" t="s">
        <v>72</v>
      </c>
      <c r="C2" s="10" t="s">
        <v>73</v>
      </c>
      <c r="D2" s="10" t="s">
        <v>74</v>
      </c>
      <c r="E2" s="10">
        <v>0.08</v>
      </c>
      <c r="F2" s="10">
        <v>80000</v>
      </c>
    </row>
    <row r="3" spans="1:6" x14ac:dyDescent="0.25">
      <c r="A3" s="8" t="s">
        <v>75</v>
      </c>
      <c r="B3" s="8" t="s">
        <v>76</v>
      </c>
      <c r="C3" s="8" t="s">
        <v>77</v>
      </c>
      <c r="D3" s="8" t="s">
        <v>78</v>
      </c>
      <c r="E3" s="8">
        <v>0.1</v>
      </c>
      <c r="F3" s="8">
        <v>75000</v>
      </c>
    </row>
    <row r="4" spans="1:6" x14ac:dyDescent="0.25">
      <c r="A4" s="10" t="s">
        <v>79</v>
      </c>
      <c r="B4" s="10" t="s">
        <v>80</v>
      </c>
      <c r="C4" s="10" t="s">
        <v>81</v>
      </c>
      <c r="D4" s="10" t="s">
        <v>82</v>
      </c>
      <c r="E4" s="10">
        <v>0.09</v>
      </c>
      <c r="F4" s="10">
        <v>85000</v>
      </c>
    </row>
    <row r="5" spans="1:6" x14ac:dyDescent="0.25">
      <c r="A5" s="8" t="s">
        <v>83</v>
      </c>
      <c r="B5" s="8" t="s">
        <v>84</v>
      </c>
      <c r="C5" s="8" t="s">
        <v>73</v>
      </c>
      <c r="D5" s="8" t="s">
        <v>74</v>
      </c>
      <c r="E5" s="8">
        <v>0.08</v>
      </c>
      <c r="F5" s="8">
        <v>80000</v>
      </c>
    </row>
    <row r="6" spans="1:6" x14ac:dyDescent="0.25">
      <c r="A6" s="10" t="s">
        <v>85</v>
      </c>
      <c r="B6" s="10" t="s">
        <v>86</v>
      </c>
      <c r="C6" s="10" t="s">
        <v>77</v>
      </c>
      <c r="D6" s="10" t="s">
        <v>78</v>
      </c>
      <c r="E6" s="10">
        <v>0.1</v>
      </c>
      <c r="F6" s="10">
        <v>75000</v>
      </c>
    </row>
    <row r="7" spans="1:6" x14ac:dyDescent="0.25">
      <c r="A7" s="8" t="s">
        <v>87</v>
      </c>
      <c r="B7" s="8" t="s">
        <v>88</v>
      </c>
      <c r="C7" s="8" t="s">
        <v>89</v>
      </c>
      <c r="D7" s="8" t="s">
        <v>90</v>
      </c>
      <c r="E7" s="8">
        <v>7.0000000000000007E-2</v>
      </c>
      <c r="F7" s="8">
        <v>60000</v>
      </c>
    </row>
    <row r="8" spans="1:6" x14ac:dyDescent="0.25">
      <c r="A8" s="10" t="s">
        <v>91</v>
      </c>
      <c r="B8" s="10" t="s">
        <v>92</v>
      </c>
      <c r="C8" s="10" t="s">
        <v>81</v>
      </c>
      <c r="D8" s="10" t="s">
        <v>82</v>
      </c>
      <c r="E8" s="10">
        <v>0.09</v>
      </c>
      <c r="F8" s="10">
        <v>85000</v>
      </c>
    </row>
    <row r="9" spans="1:6" x14ac:dyDescent="0.25">
      <c r="A9" s="8" t="s">
        <v>93</v>
      </c>
      <c r="B9" s="8" t="s">
        <v>94</v>
      </c>
      <c r="C9" s="8" t="s">
        <v>73</v>
      </c>
      <c r="D9" s="8" t="s">
        <v>74</v>
      </c>
      <c r="E9" s="8">
        <v>0.08</v>
      </c>
      <c r="F9" s="8">
        <v>80000</v>
      </c>
    </row>
    <row r="10" spans="1:6" x14ac:dyDescent="0.25">
      <c r="A10" s="10" t="s">
        <v>95</v>
      </c>
      <c r="B10" s="10" t="s">
        <v>96</v>
      </c>
      <c r="C10" s="10" t="s">
        <v>89</v>
      </c>
      <c r="D10" s="10" t="s">
        <v>90</v>
      </c>
      <c r="E10" s="10">
        <v>7.0000000000000007E-2</v>
      </c>
      <c r="F10" s="10">
        <v>60000</v>
      </c>
    </row>
    <row r="11" spans="1:6" x14ac:dyDescent="0.25">
      <c r="A11" s="8" t="s">
        <v>97</v>
      </c>
      <c r="B11" s="8" t="s">
        <v>98</v>
      </c>
      <c r="C11" s="8" t="s">
        <v>77</v>
      </c>
      <c r="D11" s="8" t="s">
        <v>78</v>
      </c>
      <c r="E11" s="8">
        <v>0.1</v>
      </c>
      <c r="F11" s="8">
        <v>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1"/>
  <sheetViews>
    <sheetView zoomScale="60" zoomScaleNormal="60" workbookViewId="0">
      <pane ySplit="1" topLeftCell="A47" activePane="bottomLeft" state="frozen"/>
      <selection pane="bottomLeft" sqref="A1:U81"/>
    </sheetView>
  </sheetViews>
  <sheetFormatPr defaultRowHeight="15" x14ac:dyDescent="0.25"/>
  <cols>
    <col min="1" max="1" width="10" customWidth="1"/>
    <col min="2" max="2" width="13" style="24" customWidth="1"/>
    <col min="3" max="3" width="8" customWidth="1"/>
    <col min="4" max="4" width="10" customWidth="1"/>
    <col min="5" max="5" width="20" customWidth="1"/>
    <col min="6" max="6" width="9" customWidth="1"/>
    <col min="7" max="7" width="14" customWidth="1"/>
    <col min="8" max="8" width="16" customWidth="1"/>
    <col min="9" max="9" width="12" customWidth="1"/>
    <col min="10" max="10" width="16" customWidth="1"/>
    <col min="11" max="11" width="18" customWidth="1"/>
    <col min="12" max="13" width="15" customWidth="1"/>
    <col min="14" max="14" width="20" customWidth="1"/>
    <col min="15" max="16" width="14" customWidth="1"/>
    <col min="17" max="17" width="16" customWidth="1"/>
    <col min="18" max="18" width="12" customWidth="1"/>
    <col min="19" max="19" width="15" customWidth="1"/>
    <col min="20" max="20" width="18" customWidth="1"/>
    <col min="21" max="21" width="16" customWidth="1"/>
  </cols>
  <sheetData>
    <row r="1" spans="1:21" ht="27.95" customHeight="1" x14ac:dyDescent="0.25">
      <c r="A1" s="11" t="s">
        <v>99</v>
      </c>
      <c r="B1" s="23" t="s">
        <v>100</v>
      </c>
      <c r="C1" s="11" t="s">
        <v>65</v>
      </c>
      <c r="D1" s="11" t="s">
        <v>29</v>
      </c>
      <c r="E1" s="11" t="s">
        <v>101</v>
      </c>
      <c r="F1" s="11" t="s">
        <v>102</v>
      </c>
      <c r="G1" s="11" t="s">
        <v>32</v>
      </c>
      <c r="H1" s="11" t="s">
        <v>103</v>
      </c>
      <c r="I1" s="11" t="s">
        <v>104</v>
      </c>
      <c r="J1" s="12" t="s">
        <v>105</v>
      </c>
      <c r="K1" s="12" t="s">
        <v>67</v>
      </c>
      <c r="L1" s="12" t="s">
        <v>68</v>
      </c>
      <c r="M1" s="12" t="s">
        <v>69</v>
      </c>
      <c r="N1" s="12" t="s">
        <v>106</v>
      </c>
      <c r="O1" s="12" t="s">
        <v>31</v>
      </c>
      <c r="P1" s="12" t="s">
        <v>33</v>
      </c>
      <c r="Q1" s="13" t="s">
        <v>107</v>
      </c>
      <c r="R1" s="13" t="s">
        <v>108</v>
      </c>
      <c r="S1" s="13" t="s">
        <v>109</v>
      </c>
      <c r="T1" s="13" t="s">
        <v>110</v>
      </c>
      <c r="U1" s="13" t="s">
        <v>111</v>
      </c>
    </row>
    <row r="2" spans="1:21" ht="15" customHeight="1" x14ac:dyDescent="0.25">
      <c r="A2" s="14" t="s">
        <v>112</v>
      </c>
      <c r="B2" s="25" t="s">
        <v>113</v>
      </c>
      <c r="C2" s="14" t="s">
        <v>71</v>
      </c>
      <c r="D2" s="14" t="s">
        <v>57</v>
      </c>
      <c r="E2" s="14" t="s">
        <v>92</v>
      </c>
      <c r="F2" s="14">
        <v>2</v>
      </c>
      <c r="G2" s="14">
        <v>4800</v>
      </c>
      <c r="H2" s="14">
        <v>9600</v>
      </c>
      <c r="I2" s="14" t="s">
        <v>118</v>
      </c>
      <c r="J2" s="14" t="str">
        <f>_xlfn.XLOOKUP(C2,'STAFF TABLE'!A2:A11,'STAFF TABLE'!B2:B11)</f>
        <v>Thabo Nkosi</v>
      </c>
      <c r="K2" s="14" t="str">
        <f>_xlfn.XLOOKUP(C2,'STAFF TABLE'!$A$2:$A$11,'STAFF TABLE'!$C$2:$C$11)</f>
        <v>Sandton Branch</v>
      </c>
      <c r="L2" s="14" t="str">
        <f>_xlfn.XLOOKUP(C2,'STAFF TABLE'!$A$2:$A$11,'STAFF TABLE'!$D$2:$D$11)</f>
        <v>Gauteng</v>
      </c>
      <c r="M2" s="14">
        <f>_xlfn.XLOOKUP(C2,'STAFF TABLE'!$A$2:$A$11,'STAFF TABLE'!$E$2:$E$11)</f>
        <v>0.08</v>
      </c>
      <c r="N2" s="14" t="str">
        <f>_xlfn.XLOOKUP(D2,'PRODUCT CATALOGUE'!$A$2:$A$13,'PRODUCT CATALOGUE'!$B$2:$B$13)</f>
        <v>Monitor 27inch</v>
      </c>
      <c r="O2" s="14" t="str">
        <f>_xlfn.XLOOKUP(D2,'PRODUCT CATALOGUE'!$A$2:$A$13,'PRODUCT CATALOGUE'!$C$2:$C$13)</f>
        <v>Electronics</v>
      </c>
      <c r="P2" s="14">
        <f>_xlfn.XLOOKUP(D2,'PRODUCT CATALOGUE'!$A$2:$A$13,'PRODUCT CATALOGUE'!$E$2:$E$13)</f>
        <v>2900</v>
      </c>
      <c r="Q2" s="14">
        <v>9600</v>
      </c>
      <c r="R2" s="14">
        <f>Q2-P2</f>
        <v>6700</v>
      </c>
      <c r="S2" s="31">
        <f>R2/Q2</f>
        <v>0.69791666666666663</v>
      </c>
      <c r="T2" s="14">
        <f>M2*Q2</f>
        <v>768</v>
      </c>
      <c r="U2" s="14" t="str">
        <f>IF(S2&gt;100%,"false","good")</f>
        <v>good</v>
      </c>
    </row>
    <row r="3" spans="1:21" ht="15" customHeight="1" x14ac:dyDescent="0.25">
      <c r="A3" s="8" t="s">
        <v>114</v>
      </c>
      <c r="B3" s="26" t="s">
        <v>115</v>
      </c>
      <c r="C3" s="8" t="s">
        <v>79</v>
      </c>
      <c r="D3" s="8" t="s">
        <v>35</v>
      </c>
      <c r="E3" s="27" t="s">
        <v>300</v>
      </c>
      <c r="F3" s="8">
        <v>1</v>
      </c>
      <c r="G3" s="8">
        <v>15000</v>
      </c>
      <c r="H3" s="8">
        <v>15000</v>
      </c>
      <c r="I3" s="8" t="s">
        <v>118</v>
      </c>
      <c r="J3" s="14" t="str">
        <f>_xlfn.XLOOKUP(C3,'STAFF TABLE'!A3:A12,'STAFF TABLE'!B3:B12)</f>
        <v>Zanele Dlamini</v>
      </c>
      <c r="K3" s="14" t="str">
        <f>_xlfn.XLOOKUP(C3,'STAFF TABLE'!$A$2:$A$11,'STAFF TABLE'!$C$2:$C$11)</f>
        <v>Cape Town Branch</v>
      </c>
      <c r="L3" s="14" t="str">
        <f>_xlfn.XLOOKUP(C3,'STAFF TABLE'!$A$2:$A$11,'STAFF TABLE'!$D$2:$D$11)</f>
        <v>Western Cape</v>
      </c>
      <c r="M3" s="14">
        <f>_xlfn.XLOOKUP(C3,'STAFF TABLE'!$A$2:$A$11,'STAFF TABLE'!$E$2:$E$11)</f>
        <v>0.09</v>
      </c>
      <c r="N3" s="14" t="str">
        <f>_xlfn.XLOOKUP(D3,'PRODUCT CATALOGUE'!$A$2:$A$13,'PRODUCT CATALOGUE'!$B$2:$B$13)</f>
        <v>Gaming Laptop</v>
      </c>
      <c r="O3" s="14" t="str">
        <f>_xlfn.XLOOKUP(D3,'PRODUCT CATALOGUE'!$A$2:$A$13,'PRODUCT CATALOGUE'!$C$2:$C$13)</f>
        <v>Electronics</v>
      </c>
      <c r="P3" s="14">
        <f>_xlfn.XLOOKUP(D3,'PRODUCT CATALOGUE'!$A$2:$A$13,'PRODUCT CATALOGUE'!$E$2:$E$13)</f>
        <v>9800</v>
      </c>
      <c r="Q3" s="8">
        <v>15000</v>
      </c>
      <c r="R3" s="14">
        <f t="shared" ref="R3:R66" si="0">Q3-P3</f>
        <v>5200</v>
      </c>
      <c r="S3" s="31">
        <f t="shared" ref="S3:S66" si="1">R3/Q3</f>
        <v>0.34666666666666668</v>
      </c>
      <c r="T3" s="14">
        <f t="shared" ref="T3:T66" si="2">M3*Q3</f>
        <v>1350</v>
      </c>
      <c r="U3" s="14" t="str">
        <f t="shared" ref="U3:U66" si="3">IF(S3&gt;100%,"false","good")</f>
        <v>good</v>
      </c>
    </row>
    <row r="4" spans="1:21" ht="15" customHeight="1" x14ac:dyDescent="0.25">
      <c r="A4" s="14" t="s">
        <v>116</v>
      </c>
      <c r="B4" s="25" t="s">
        <v>117</v>
      </c>
      <c r="C4" s="14" t="s">
        <v>85</v>
      </c>
      <c r="D4" s="14" t="s">
        <v>53</v>
      </c>
      <c r="E4" s="14" t="s">
        <v>128</v>
      </c>
      <c r="F4" s="14">
        <v>3</v>
      </c>
      <c r="G4" s="14">
        <v>2100</v>
      </c>
      <c r="H4" s="14">
        <v>6300</v>
      </c>
      <c r="I4" s="14" t="s">
        <v>118</v>
      </c>
      <c r="J4" s="14" t="str">
        <f>_xlfn.XLOOKUP(C4,'STAFF TABLE'!A4:A13,'STAFF TABLE'!B4:B13)</f>
        <v>Amahle Zulu</v>
      </c>
      <c r="K4" s="14" t="str">
        <f>_xlfn.XLOOKUP(C4,'STAFF TABLE'!$A$2:$A$11,'STAFF TABLE'!$C$2:$C$11)</f>
        <v>Durban Branch</v>
      </c>
      <c r="L4" s="14" t="str">
        <f>_xlfn.XLOOKUP(C4,'STAFF TABLE'!$A$2:$A$11,'STAFF TABLE'!$D$2:$D$11)</f>
        <v>KZN</v>
      </c>
      <c r="M4" s="14">
        <f>_xlfn.XLOOKUP(C4,'STAFF TABLE'!$A$2:$A$11,'STAFF TABLE'!$E$2:$E$11)</f>
        <v>0.1</v>
      </c>
      <c r="N4" s="14" t="str">
        <f>_xlfn.XLOOKUP(D4,'PRODUCT CATALOGUE'!$A$2:$A$13,'PRODUCT CATALOGUE'!$B$2:$B$13)</f>
        <v>Mechanical Keyboard</v>
      </c>
      <c r="O4" s="14" t="str">
        <f>_xlfn.XLOOKUP(D4,'PRODUCT CATALOGUE'!$A$2:$A$13,'PRODUCT CATALOGUE'!$C$2:$C$13)</f>
        <v>Electronics</v>
      </c>
      <c r="P4" s="14">
        <f>_xlfn.XLOOKUP(D4,'PRODUCT CATALOGUE'!$A$2:$A$13,'PRODUCT CATALOGUE'!$E$2:$E$13)</f>
        <v>1100</v>
      </c>
      <c r="Q4" s="14">
        <v>6300</v>
      </c>
      <c r="R4" s="14">
        <f t="shared" si="0"/>
        <v>5200</v>
      </c>
      <c r="S4" s="31">
        <f t="shared" si="1"/>
        <v>0.82539682539682535</v>
      </c>
      <c r="T4" s="14">
        <f t="shared" si="2"/>
        <v>630</v>
      </c>
      <c r="U4" s="14" t="str">
        <f t="shared" si="3"/>
        <v>good</v>
      </c>
    </row>
    <row r="5" spans="1:21" ht="15" customHeight="1" x14ac:dyDescent="0.25">
      <c r="A5" s="8" t="s">
        <v>119</v>
      </c>
      <c r="B5" s="26" t="s">
        <v>117</v>
      </c>
      <c r="C5" s="8" t="s">
        <v>75</v>
      </c>
      <c r="D5" s="8" t="s">
        <v>45</v>
      </c>
      <c r="E5" s="8" t="s">
        <v>131</v>
      </c>
      <c r="F5" s="8">
        <v>1</v>
      </c>
      <c r="G5" s="8">
        <v>5500</v>
      </c>
      <c r="H5" s="8">
        <v>5500</v>
      </c>
      <c r="I5" s="8" t="s">
        <v>118</v>
      </c>
      <c r="J5" s="14" t="str">
        <f>_xlfn.XLOOKUP(C5,'STAFF TABLE'!A2:A11,'STAFF TABLE'!B2:B11)</f>
        <v>Priya Pillay</v>
      </c>
      <c r="K5" s="14" t="str">
        <f>_xlfn.XLOOKUP(C5,'STAFF TABLE'!$A$2:$A$11,'STAFF TABLE'!$C$2:$C$11)</f>
        <v>Durban Branch</v>
      </c>
      <c r="L5" s="14" t="str">
        <f>_xlfn.XLOOKUP(C5,'STAFF TABLE'!$A$2:$A$11,'STAFF TABLE'!$D$2:$D$11)</f>
        <v>KZN</v>
      </c>
      <c r="M5" s="14">
        <f>_xlfn.XLOOKUP(C5,'STAFF TABLE'!$A$2:$A$11,'STAFF TABLE'!$E$2:$E$11)</f>
        <v>0.1</v>
      </c>
      <c r="N5" s="14" t="str">
        <f>_xlfn.XLOOKUP(D5,'PRODUCT CATALOGUE'!$A$2:$A$13,'PRODUCT CATALOGUE'!$B$2:$B$13)</f>
        <v>Standing Desk</v>
      </c>
      <c r="O5" s="14" t="str">
        <f>_xlfn.XLOOKUP(D5,'PRODUCT CATALOGUE'!$A$2:$A$13,'PRODUCT CATALOGUE'!$C$2:$C$13)</f>
        <v>Furniture</v>
      </c>
      <c r="P5" s="14">
        <f>_xlfn.XLOOKUP(D5,'PRODUCT CATALOGUE'!$A$2:$A$13,'PRODUCT CATALOGUE'!$E$2:$E$13)</f>
        <v>3100</v>
      </c>
      <c r="Q5" s="8">
        <v>5500</v>
      </c>
      <c r="R5" s="14">
        <f t="shared" si="0"/>
        <v>2400</v>
      </c>
      <c r="S5" s="31">
        <f t="shared" si="1"/>
        <v>0.43636363636363634</v>
      </c>
      <c r="T5" s="14">
        <f t="shared" si="2"/>
        <v>550</v>
      </c>
      <c r="U5" s="14" t="str">
        <f t="shared" si="3"/>
        <v>good</v>
      </c>
    </row>
    <row r="6" spans="1:21" ht="15" customHeight="1" x14ac:dyDescent="0.25">
      <c r="A6" s="14" t="s">
        <v>120</v>
      </c>
      <c r="B6" s="25" t="s">
        <v>121</v>
      </c>
      <c r="C6" s="14" t="s">
        <v>93</v>
      </c>
      <c r="D6" s="14" t="s">
        <v>49</v>
      </c>
      <c r="E6" s="14" t="s">
        <v>94</v>
      </c>
      <c r="F6" s="14">
        <v>2</v>
      </c>
      <c r="G6" s="14">
        <v>350</v>
      </c>
      <c r="H6" s="14">
        <v>700</v>
      </c>
      <c r="I6" s="14" t="s">
        <v>118</v>
      </c>
      <c r="J6" s="14" t="str">
        <f>_xlfn.XLOOKUP(C6,'STAFF TABLE'!A6:A15,'STAFF TABLE'!B6:B15)</f>
        <v>Kefilwe Sithole</v>
      </c>
      <c r="K6" s="14" t="str">
        <f>_xlfn.XLOOKUP(C6,'STAFF TABLE'!$A$2:$A$11,'STAFF TABLE'!$C$2:$C$11)</f>
        <v>Sandton Branch</v>
      </c>
      <c r="L6" s="14" t="str">
        <f>_xlfn.XLOOKUP(C6,'STAFF TABLE'!$A$2:$A$11,'STAFF TABLE'!$D$2:$D$11)</f>
        <v>Gauteng</v>
      </c>
      <c r="M6" s="14">
        <f>_xlfn.XLOOKUP(C6,'STAFF TABLE'!$A$2:$A$11,'STAFF TABLE'!$E$2:$E$11)</f>
        <v>0.08</v>
      </c>
      <c r="N6" s="14" t="str">
        <f>_xlfn.XLOOKUP(D6,'PRODUCT CATALOGUE'!$A$2:$A$13,'PRODUCT CATALOGUE'!$B$2:$B$13)</f>
        <v>Notebook Bundle</v>
      </c>
      <c r="O6" s="14" t="str">
        <f>_xlfn.XLOOKUP(D6,'PRODUCT CATALOGUE'!$A$2:$A$13,'PRODUCT CATALOGUE'!$C$2:$C$13)</f>
        <v>Stationery</v>
      </c>
      <c r="P6" s="14">
        <f>_xlfn.XLOOKUP(D6,'PRODUCT CATALOGUE'!$A$2:$A$13,'PRODUCT CATALOGUE'!$E$2:$E$13)</f>
        <v>140</v>
      </c>
      <c r="Q6" s="14">
        <v>700</v>
      </c>
      <c r="R6" s="14">
        <f t="shared" si="0"/>
        <v>560</v>
      </c>
      <c r="S6" s="31">
        <f t="shared" si="1"/>
        <v>0.8</v>
      </c>
      <c r="T6" s="14">
        <f t="shared" si="2"/>
        <v>56</v>
      </c>
      <c r="U6" s="14" t="str">
        <f t="shared" si="3"/>
        <v>good</v>
      </c>
    </row>
    <row r="7" spans="1:21" ht="15" customHeight="1" x14ac:dyDescent="0.25">
      <c r="A7" s="8" t="s">
        <v>122</v>
      </c>
      <c r="B7" s="26" t="s">
        <v>121</v>
      </c>
      <c r="C7" s="8" t="s">
        <v>87</v>
      </c>
      <c r="D7" s="8" t="s">
        <v>39</v>
      </c>
      <c r="E7" s="8" t="s">
        <v>98</v>
      </c>
      <c r="F7" s="8">
        <v>1</v>
      </c>
      <c r="G7" s="8">
        <v>3200</v>
      </c>
      <c r="H7" s="8">
        <v>3200</v>
      </c>
      <c r="I7" s="8" t="s">
        <v>153</v>
      </c>
      <c r="J7" s="14" t="str">
        <f>_xlfn.XLOOKUP(C7,'STAFF TABLE'!A7:A16,'STAFF TABLE'!B7:B16)</f>
        <v>Lebo Mahlangu</v>
      </c>
      <c r="K7" s="14" t="str">
        <f>_xlfn.XLOOKUP(C7,'STAFF TABLE'!$A$2:$A$11,'STAFF TABLE'!$C$2:$C$11)</f>
        <v>Polokwane Branch</v>
      </c>
      <c r="L7" s="14" t="str">
        <f>_xlfn.XLOOKUP(C7,'STAFF TABLE'!$A$2:$A$11,'STAFF TABLE'!$D$2:$D$11)</f>
        <v>Limpopo</v>
      </c>
      <c r="M7" s="14">
        <f>_xlfn.XLOOKUP(C7,'STAFF TABLE'!$A$2:$A$11,'STAFF TABLE'!$E$2:$E$11)</f>
        <v>7.0000000000000007E-2</v>
      </c>
      <c r="N7" s="14" t="str">
        <f>_xlfn.XLOOKUP(D7,'PRODUCT CATALOGUE'!$A$2:$A$13,'PRODUCT CATALOGUE'!$B$2:$B$13)</f>
        <v>Office Chair</v>
      </c>
      <c r="O7" s="14" t="str">
        <f>_xlfn.XLOOKUP(D7,'PRODUCT CATALOGUE'!$A$2:$A$13,'PRODUCT CATALOGUE'!$C$2:$C$13)</f>
        <v>Furniture</v>
      </c>
      <c r="P7" s="14">
        <f>_xlfn.XLOOKUP(D7,'PRODUCT CATALOGUE'!$A$2:$A$13,'PRODUCT CATALOGUE'!$E$2:$E$13)</f>
        <v>1750</v>
      </c>
      <c r="Q7" s="8">
        <v>3200</v>
      </c>
      <c r="R7" s="14">
        <f t="shared" si="0"/>
        <v>1450</v>
      </c>
      <c r="S7" s="31">
        <f t="shared" si="1"/>
        <v>0.453125</v>
      </c>
      <c r="T7" s="14">
        <f t="shared" si="2"/>
        <v>224.00000000000003</v>
      </c>
      <c r="U7" s="14" t="str">
        <f t="shared" si="3"/>
        <v>good</v>
      </c>
    </row>
    <row r="8" spans="1:21" ht="15" customHeight="1" x14ac:dyDescent="0.25">
      <c r="A8" s="14" t="s">
        <v>123</v>
      </c>
      <c r="B8" s="25" t="s">
        <v>124</v>
      </c>
      <c r="C8" s="14" t="s">
        <v>71</v>
      </c>
      <c r="D8" s="14" t="s">
        <v>59</v>
      </c>
      <c r="E8" s="14" t="s">
        <v>96</v>
      </c>
      <c r="F8" s="14">
        <v>5</v>
      </c>
      <c r="G8" s="14">
        <v>650</v>
      </c>
      <c r="H8" s="14">
        <v>3250</v>
      </c>
      <c r="I8" s="14" t="s">
        <v>118</v>
      </c>
      <c r="J8" s="14" t="str">
        <f>_xlfn.XLOOKUP(C8,'STAFF TABLE'!A2:A11,'STAFF TABLE'!B2:B11)</f>
        <v>Thabo Nkosi</v>
      </c>
      <c r="K8" s="14" t="str">
        <f>_xlfn.XLOOKUP(C8,'STAFF TABLE'!$A$2:$A$11,'STAFF TABLE'!$C$2:$C$11)</f>
        <v>Sandton Branch</v>
      </c>
      <c r="L8" s="14" t="str">
        <f>_xlfn.XLOOKUP(C8,'STAFF TABLE'!$A$2:$A$11,'STAFF TABLE'!$D$2:$D$11)</f>
        <v>Gauteng</v>
      </c>
      <c r="M8" s="14">
        <f>_xlfn.XLOOKUP(C8,'STAFF TABLE'!$A$2:$A$11,'STAFF TABLE'!$E$2:$E$11)</f>
        <v>0.08</v>
      </c>
      <c r="N8" s="14" t="str">
        <f>_xlfn.XLOOKUP(D8,'PRODUCT CATALOGUE'!$A$2:$A$13,'PRODUCT CATALOGUE'!$B$2:$B$13)</f>
        <v>Ergonomic Mouse</v>
      </c>
      <c r="O8" s="14" t="str">
        <f>_xlfn.XLOOKUP(D8,'PRODUCT CATALOGUE'!$A$2:$A$13,'PRODUCT CATALOGUE'!$C$2:$C$13)</f>
        <v>Electronics</v>
      </c>
      <c r="P8" s="14">
        <f>_xlfn.XLOOKUP(D8,'PRODUCT CATALOGUE'!$A$2:$A$13,'PRODUCT CATALOGUE'!$E$2:$E$13)</f>
        <v>310</v>
      </c>
      <c r="Q8" s="14">
        <v>3250</v>
      </c>
      <c r="R8" s="14">
        <f t="shared" si="0"/>
        <v>2940</v>
      </c>
      <c r="S8" s="31">
        <f t="shared" si="1"/>
        <v>0.9046153846153846</v>
      </c>
      <c r="T8" s="14">
        <f t="shared" si="2"/>
        <v>260</v>
      </c>
      <c r="U8" s="14" t="str">
        <f t="shared" si="3"/>
        <v>good</v>
      </c>
    </row>
    <row r="9" spans="1:21" ht="15" customHeight="1" x14ac:dyDescent="0.25">
      <c r="A9" s="8" t="s">
        <v>125</v>
      </c>
      <c r="B9" s="26" t="s">
        <v>126</v>
      </c>
      <c r="C9" s="8" t="s">
        <v>83</v>
      </c>
      <c r="D9" s="8" t="s">
        <v>43</v>
      </c>
      <c r="E9" s="8" t="s">
        <v>76</v>
      </c>
      <c r="F9" s="8">
        <v>4</v>
      </c>
      <c r="G9" s="8">
        <v>1800</v>
      </c>
      <c r="H9" s="8">
        <v>7200</v>
      </c>
      <c r="I9" s="8" t="s">
        <v>118</v>
      </c>
      <c r="J9" s="14" t="str">
        <f>_xlfn.XLOOKUP(C9,'STAFF TABLE'!A3:A12,'STAFF TABLE'!B3:B12)</f>
        <v>Riaan Botha</v>
      </c>
      <c r="K9" s="14" t="str">
        <f>_xlfn.XLOOKUP(C9,'STAFF TABLE'!$A$2:$A$11,'STAFF TABLE'!$C$2:$C$11)</f>
        <v>Sandton Branch</v>
      </c>
      <c r="L9" s="14" t="str">
        <f>_xlfn.XLOOKUP(C9,'STAFF TABLE'!$A$2:$A$11,'STAFF TABLE'!$D$2:$D$11)</f>
        <v>Gauteng</v>
      </c>
      <c r="M9" s="14">
        <f>_xlfn.XLOOKUP(C9,'STAFF TABLE'!$A$2:$A$11,'STAFF TABLE'!$E$2:$E$11)</f>
        <v>0.08</v>
      </c>
      <c r="N9" s="14" t="str">
        <f>_xlfn.XLOOKUP(D9,'PRODUCT CATALOGUE'!$A$2:$A$13,'PRODUCT CATALOGUE'!$B$2:$B$13)</f>
        <v>Wireless Headset</v>
      </c>
      <c r="O9" s="14" t="str">
        <f>_xlfn.XLOOKUP(D9,'PRODUCT CATALOGUE'!$A$2:$A$13,'PRODUCT CATALOGUE'!$C$2:$C$13)</f>
        <v>Electronics</v>
      </c>
      <c r="P9" s="14">
        <f>_xlfn.XLOOKUP(D9,'PRODUCT CATALOGUE'!$A$2:$A$13,'PRODUCT CATALOGUE'!$E$2:$E$13)</f>
        <v>950</v>
      </c>
      <c r="Q9" s="8">
        <v>7200</v>
      </c>
      <c r="R9" s="14">
        <f t="shared" si="0"/>
        <v>6250</v>
      </c>
      <c r="S9" s="31">
        <f t="shared" si="1"/>
        <v>0.86805555555555558</v>
      </c>
      <c r="T9" s="14">
        <f t="shared" si="2"/>
        <v>576</v>
      </c>
      <c r="U9" s="14" t="str">
        <f t="shared" si="3"/>
        <v>good</v>
      </c>
    </row>
    <row r="10" spans="1:21" ht="15" customHeight="1" x14ac:dyDescent="0.25">
      <c r="A10" s="14" t="s">
        <v>127</v>
      </c>
      <c r="B10" s="25" t="s">
        <v>126</v>
      </c>
      <c r="C10" s="14" t="s">
        <v>91</v>
      </c>
      <c r="D10" s="14" t="s">
        <v>35</v>
      </c>
      <c r="E10" s="14" t="s">
        <v>140</v>
      </c>
      <c r="F10" s="14">
        <v>2</v>
      </c>
      <c r="G10" s="14">
        <v>15000</v>
      </c>
      <c r="H10" s="28">
        <v>25000</v>
      </c>
      <c r="I10" s="14" t="s">
        <v>118</v>
      </c>
      <c r="J10" s="14" t="str">
        <f>_xlfn.XLOOKUP(C10,'STAFF TABLE'!A4:A13,'STAFF TABLE'!B4:B13)</f>
        <v>Fatima Patel</v>
      </c>
      <c r="K10" s="14" t="str">
        <f>_xlfn.XLOOKUP(C10,'STAFF TABLE'!$A$2:$A$11,'STAFF TABLE'!$C$2:$C$11)</f>
        <v>Cape Town Branch</v>
      </c>
      <c r="L10" s="14" t="str">
        <f>_xlfn.XLOOKUP(C10,'STAFF TABLE'!$A$2:$A$11,'STAFF TABLE'!$D$2:$D$11)</f>
        <v>Western Cape</v>
      </c>
      <c r="M10" s="14">
        <f>_xlfn.XLOOKUP(C10,'STAFF TABLE'!$A$2:$A$11,'STAFF TABLE'!$E$2:$E$11)</f>
        <v>0.09</v>
      </c>
      <c r="N10" s="14" t="str">
        <f>_xlfn.XLOOKUP(D10,'PRODUCT CATALOGUE'!$A$2:$A$13,'PRODUCT CATALOGUE'!$B$2:$B$13)</f>
        <v>Gaming Laptop</v>
      </c>
      <c r="O10" s="14" t="str">
        <f>_xlfn.XLOOKUP(D10,'PRODUCT CATALOGUE'!$A$2:$A$13,'PRODUCT CATALOGUE'!$C$2:$C$13)</f>
        <v>Electronics</v>
      </c>
      <c r="P10" s="14">
        <f>_xlfn.XLOOKUP(D10,'PRODUCT CATALOGUE'!$A$2:$A$13,'PRODUCT CATALOGUE'!$E$2:$E$13)</f>
        <v>9800</v>
      </c>
      <c r="Q10" s="14">
        <v>30000</v>
      </c>
      <c r="R10" s="14">
        <f t="shared" si="0"/>
        <v>20200</v>
      </c>
      <c r="S10" s="31">
        <f t="shared" si="1"/>
        <v>0.67333333333333334</v>
      </c>
      <c r="T10" s="14">
        <f t="shared" si="2"/>
        <v>2700</v>
      </c>
      <c r="U10" s="14" t="str">
        <f t="shared" si="3"/>
        <v>good</v>
      </c>
    </row>
    <row r="11" spans="1:21" ht="15" customHeight="1" x14ac:dyDescent="0.25">
      <c r="A11" s="8" t="s">
        <v>129</v>
      </c>
      <c r="B11" s="26" t="s">
        <v>130</v>
      </c>
      <c r="C11" s="8" t="s">
        <v>97</v>
      </c>
      <c r="D11" s="8" t="s">
        <v>55</v>
      </c>
      <c r="E11" s="27" t="s">
        <v>300</v>
      </c>
      <c r="F11" s="8">
        <v>3</v>
      </c>
      <c r="G11" s="8">
        <v>890</v>
      </c>
      <c r="H11" s="8">
        <v>2670</v>
      </c>
      <c r="I11" s="8" t="s">
        <v>301</v>
      </c>
      <c r="J11" s="14" t="str">
        <f>_xlfn.XLOOKUP(C11,'STAFF TABLE'!A5:A14,'STAFF TABLE'!B5:B14)</f>
        <v>Sipho Dlamini</v>
      </c>
      <c r="K11" s="14" t="str">
        <f>_xlfn.XLOOKUP(C11,'STAFF TABLE'!$A$2:$A$11,'STAFF TABLE'!$C$2:$C$11)</f>
        <v>Durban Branch</v>
      </c>
      <c r="L11" s="14" t="str">
        <f>_xlfn.XLOOKUP(C11,'STAFF TABLE'!$A$2:$A$11,'STAFF TABLE'!$D$2:$D$11)</f>
        <v>KZN</v>
      </c>
      <c r="M11" s="14">
        <f>_xlfn.XLOOKUP(C11,'STAFF TABLE'!$A$2:$A$11,'STAFF TABLE'!$E$2:$E$11)</f>
        <v>0.1</v>
      </c>
      <c r="N11" s="14" t="str">
        <f>_xlfn.XLOOKUP(D11,'PRODUCT CATALOGUE'!$A$2:$A$13,'PRODUCT CATALOGUE'!$B$2:$B$13)</f>
        <v>Whiteboard</v>
      </c>
      <c r="O11" s="14" t="str">
        <f>_xlfn.XLOOKUP(D11,'PRODUCT CATALOGUE'!$A$2:$A$13,'PRODUCT CATALOGUE'!$C$2:$C$13)</f>
        <v>Stationery</v>
      </c>
      <c r="P11" s="14">
        <f>_xlfn.XLOOKUP(D11,'PRODUCT CATALOGUE'!$A$2:$A$13,'PRODUCT CATALOGUE'!$E$2:$E$13)</f>
        <v>420</v>
      </c>
      <c r="Q11" s="8">
        <v>2670</v>
      </c>
      <c r="R11" s="14">
        <f t="shared" si="0"/>
        <v>2250</v>
      </c>
      <c r="S11" s="31">
        <f t="shared" si="1"/>
        <v>0.84269662921348309</v>
      </c>
      <c r="T11" s="14">
        <f t="shared" si="2"/>
        <v>267</v>
      </c>
      <c r="U11" s="14" t="str">
        <f t="shared" si="3"/>
        <v>good</v>
      </c>
    </row>
    <row r="12" spans="1:21" ht="15" customHeight="1" x14ac:dyDescent="0.25">
      <c r="A12" s="14" t="s">
        <v>132</v>
      </c>
      <c r="B12" s="25" t="s">
        <v>130</v>
      </c>
      <c r="C12" s="14" t="s">
        <v>79</v>
      </c>
      <c r="D12" s="14" t="s">
        <v>57</v>
      </c>
      <c r="E12" s="14" t="s">
        <v>84</v>
      </c>
      <c r="F12" s="14">
        <v>1</v>
      </c>
      <c r="G12" s="14">
        <v>4800</v>
      </c>
      <c r="H12" s="14">
        <v>4800</v>
      </c>
      <c r="I12" s="14" t="s">
        <v>118</v>
      </c>
      <c r="J12" s="14" t="str">
        <f>_xlfn.XLOOKUP(C12,'STAFF TABLE'!A2:A11,'STAFF TABLE'!B2:B11)</f>
        <v>Zanele Dlamini</v>
      </c>
      <c r="K12" s="14" t="str">
        <f>_xlfn.XLOOKUP(C12,'STAFF TABLE'!$A$2:$A$11,'STAFF TABLE'!$C$2:$C$11)</f>
        <v>Cape Town Branch</v>
      </c>
      <c r="L12" s="14" t="str">
        <f>_xlfn.XLOOKUP(C12,'STAFF TABLE'!$A$2:$A$11,'STAFF TABLE'!$D$2:$D$11)</f>
        <v>Western Cape</v>
      </c>
      <c r="M12" s="14">
        <f>_xlfn.XLOOKUP(C12,'STAFF TABLE'!$A$2:$A$11,'STAFF TABLE'!$E$2:$E$11)</f>
        <v>0.09</v>
      </c>
      <c r="N12" s="14" t="str">
        <f>_xlfn.XLOOKUP(D12,'PRODUCT CATALOGUE'!$A$2:$A$13,'PRODUCT CATALOGUE'!$B$2:$B$13)</f>
        <v>Monitor 27inch</v>
      </c>
      <c r="O12" s="14" t="str">
        <f>_xlfn.XLOOKUP(D12,'PRODUCT CATALOGUE'!$A$2:$A$13,'PRODUCT CATALOGUE'!$C$2:$C$13)</f>
        <v>Electronics</v>
      </c>
      <c r="P12" s="14">
        <f>_xlfn.XLOOKUP(D12,'PRODUCT CATALOGUE'!$A$2:$A$13,'PRODUCT CATALOGUE'!$E$2:$E$13)</f>
        <v>2900</v>
      </c>
      <c r="Q12" s="14">
        <v>4800</v>
      </c>
      <c r="R12" s="14">
        <f t="shared" si="0"/>
        <v>1900</v>
      </c>
      <c r="S12" s="31">
        <f t="shared" si="1"/>
        <v>0.39583333333333331</v>
      </c>
      <c r="T12" s="14">
        <f t="shared" si="2"/>
        <v>432</v>
      </c>
      <c r="U12" s="14" t="str">
        <f t="shared" si="3"/>
        <v>good</v>
      </c>
    </row>
    <row r="13" spans="1:21" ht="15" customHeight="1" x14ac:dyDescent="0.25">
      <c r="A13" s="8" t="s">
        <v>133</v>
      </c>
      <c r="B13" s="26" t="s">
        <v>134</v>
      </c>
      <c r="C13" s="8" t="s">
        <v>85</v>
      </c>
      <c r="D13" s="8" t="s">
        <v>63</v>
      </c>
      <c r="E13" s="8" t="s">
        <v>86</v>
      </c>
      <c r="F13" s="8">
        <v>10</v>
      </c>
      <c r="G13" s="8">
        <v>120</v>
      </c>
      <c r="H13" s="8">
        <v>1200</v>
      </c>
      <c r="I13" s="8" t="s">
        <v>118</v>
      </c>
      <c r="J13" s="14" t="str">
        <f>_xlfn.XLOOKUP(C13,'STAFF TABLE'!A3:A12,'STAFF TABLE'!B3:B12)</f>
        <v>Amahle Zulu</v>
      </c>
      <c r="K13" s="14" t="str">
        <f>_xlfn.XLOOKUP(C13,'STAFF TABLE'!$A$2:$A$11,'STAFF TABLE'!$C$2:$C$11)</f>
        <v>Durban Branch</v>
      </c>
      <c r="L13" s="14" t="str">
        <f>_xlfn.XLOOKUP(C13,'STAFF TABLE'!$A$2:$A$11,'STAFF TABLE'!$D$2:$D$11)</f>
        <v>KZN</v>
      </c>
      <c r="M13" s="14">
        <f>_xlfn.XLOOKUP(C13,'STAFF TABLE'!$A$2:$A$11,'STAFF TABLE'!$E$2:$E$11)</f>
        <v>0.1</v>
      </c>
      <c r="N13" s="14" t="str">
        <f>_xlfn.XLOOKUP(D13,'PRODUCT CATALOGUE'!$A$2:$A$13,'PRODUCT CATALOGUE'!$B$2:$B$13)</f>
        <v>Printer Paper Ream</v>
      </c>
      <c r="O13" s="14" t="str">
        <f>_xlfn.XLOOKUP(D13,'PRODUCT CATALOGUE'!$A$2:$A$13,'PRODUCT CATALOGUE'!$C$2:$C$13)</f>
        <v>Stationery</v>
      </c>
      <c r="P13" s="14">
        <f>_xlfn.XLOOKUP(D13,'PRODUCT CATALOGUE'!$A$2:$A$13,'PRODUCT CATALOGUE'!$E$2:$E$13)</f>
        <v>55</v>
      </c>
      <c r="Q13" s="8">
        <v>1200</v>
      </c>
      <c r="R13" s="14">
        <f t="shared" si="0"/>
        <v>1145</v>
      </c>
      <c r="S13" s="31">
        <f t="shared" si="1"/>
        <v>0.95416666666666672</v>
      </c>
      <c r="T13" s="14">
        <f t="shared" si="2"/>
        <v>120</v>
      </c>
      <c r="U13" s="14" t="str">
        <f t="shared" si="3"/>
        <v>good</v>
      </c>
    </row>
    <row r="14" spans="1:21" ht="15" customHeight="1" x14ac:dyDescent="0.25">
      <c r="A14" s="14" t="s">
        <v>135</v>
      </c>
      <c r="B14" s="25" t="s">
        <v>136</v>
      </c>
      <c r="C14" s="14" t="s">
        <v>95</v>
      </c>
      <c r="D14" s="14" t="s">
        <v>61</v>
      </c>
      <c r="E14" s="14" t="s">
        <v>88</v>
      </c>
      <c r="F14" s="14">
        <v>1</v>
      </c>
      <c r="G14" s="14">
        <v>2800</v>
      </c>
      <c r="H14" s="14">
        <v>2800</v>
      </c>
      <c r="I14" s="14" t="s">
        <v>118</v>
      </c>
      <c r="J14" s="14" t="str">
        <f>_xlfn.XLOOKUP(C14,'STAFF TABLE'!A4:A13,'STAFF TABLE'!B4:B13)</f>
        <v>David Moyo</v>
      </c>
      <c r="K14" s="14" t="str">
        <f>_xlfn.XLOOKUP(C14,'STAFF TABLE'!$A$2:$A$11,'STAFF TABLE'!$C$2:$C$11)</f>
        <v>Polokwane Branch</v>
      </c>
      <c r="L14" s="14" t="str">
        <f>_xlfn.XLOOKUP(C14,'STAFF TABLE'!$A$2:$A$11,'STAFF TABLE'!$D$2:$D$11)</f>
        <v>Limpopo</v>
      </c>
      <c r="M14" s="14">
        <f>_xlfn.XLOOKUP(C14,'STAFF TABLE'!$A$2:$A$11,'STAFF TABLE'!$E$2:$E$11)</f>
        <v>7.0000000000000007E-2</v>
      </c>
      <c r="N14" s="14" t="str">
        <f>_xlfn.XLOOKUP(D14,'PRODUCT CATALOGUE'!$A$2:$A$13,'PRODUCT CATALOGUE'!$B$2:$B$13)</f>
        <v>Filing Cabinet</v>
      </c>
      <c r="O14" s="14" t="str">
        <f>_xlfn.XLOOKUP(D14,'PRODUCT CATALOGUE'!$A$2:$A$13,'PRODUCT CATALOGUE'!$C$2:$C$13)</f>
        <v>Furniture</v>
      </c>
      <c r="P14" s="14">
        <f>_xlfn.XLOOKUP(D14,'PRODUCT CATALOGUE'!$A$2:$A$13,'PRODUCT CATALOGUE'!$E$2:$E$13)</f>
        <v>1600</v>
      </c>
      <c r="Q14" s="14">
        <v>2800</v>
      </c>
      <c r="R14" s="14">
        <f t="shared" si="0"/>
        <v>1200</v>
      </c>
      <c r="S14" s="31">
        <f t="shared" si="1"/>
        <v>0.42857142857142855</v>
      </c>
      <c r="T14" s="14">
        <f t="shared" si="2"/>
        <v>196.00000000000003</v>
      </c>
      <c r="U14" s="14" t="str">
        <f t="shared" si="3"/>
        <v>good</v>
      </c>
    </row>
    <row r="15" spans="1:21" ht="15" customHeight="1" x14ac:dyDescent="0.25">
      <c r="A15" s="8" t="s">
        <v>137</v>
      </c>
      <c r="B15" s="26" t="s">
        <v>136</v>
      </c>
      <c r="C15" s="8" t="s">
        <v>75</v>
      </c>
      <c r="D15" s="8" t="s">
        <v>47</v>
      </c>
      <c r="E15" s="8" t="s">
        <v>92</v>
      </c>
      <c r="F15" s="8">
        <v>4</v>
      </c>
      <c r="G15" s="8">
        <v>1200</v>
      </c>
      <c r="H15" s="8">
        <v>4800</v>
      </c>
      <c r="I15" s="8" t="s">
        <v>118</v>
      </c>
      <c r="J15" s="14" t="str">
        <f>_xlfn.XLOOKUP(C15,'STAFF TABLE'!A2:A11,'STAFF TABLE'!B2:B11)</f>
        <v>Priya Pillay</v>
      </c>
      <c r="K15" s="14" t="str">
        <f>_xlfn.XLOOKUP(C15,'STAFF TABLE'!$A$2:$A$11,'STAFF TABLE'!$C$2:$C$11)</f>
        <v>Durban Branch</v>
      </c>
      <c r="L15" s="14" t="str">
        <f>_xlfn.XLOOKUP(C15,'STAFF TABLE'!$A$2:$A$11,'STAFF TABLE'!$D$2:$D$11)</f>
        <v>KZN</v>
      </c>
      <c r="M15" s="14">
        <f>_xlfn.XLOOKUP(C15,'STAFF TABLE'!$A$2:$A$11,'STAFF TABLE'!$E$2:$E$11)</f>
        <v>0.1</v>
      </c>
      <c r="N15" s="14" t="str">
        <f>_xlfn.XLOOKUP(D15,'PRODUCT CATALOGUE'!$A$2:$A$13,'PRODUCT CATALOGUE'!$B$2:$B$13)</f>
        <v>Webcam HD</v>
      </c>
      <c r="O15" s="14" t="str">
        <f>_xlfn.XLOOKUP(D15,'PRODUCT CATALOGUE'!$A$2:$A$13,'PRODUCT CATALOGUE'!$C$2:$C$13)</f>
        <v>Electronics</v>
      </c>
      <c r="P15" s="14">
        <f>_xlfn.XLOOKUP(D15,'PRODUCT CATALOGUE'!$A$2:$A$13,'PRODUCT CATALOGUE'!$E$2:$E$13)</f>
        <v>620</v>
      </c>
      <c r="Q15" s="8">
        <v>4800</v>
      </c>
      <c r="R15" s="14">
        <f t="shared" si="0"/>
        <v>4180</v>
      </c>
      <c r="S15" s="31">
        <f t="shared" si="1"/>
        <v>0.87083333333333335</v>
      </c>
      <c r="T15" s="14">
        <f t="shared" si="2"/>
        <v>480</v>
      </c>
      <c r="U15" s="14" t="str">
        <f t="shared" si="3"/>
        <v>good</v>
      </c>
    </row>
    <row r="16" spans="1:21" ht="15" customHeight="1" x14ac:dyDescent="0.25">
      <c r="A16" s="14" t="s">
        <v>138</v>
      </c>
      <c r="B16" s="25" t="s">
        <v>139</v>
      </c>
      <c r="C16" s="14" t="s">
        <v>93</v>
      </c>
      <c r="D16" s="14" t="s">
        <v>35</v>
      </c>
      <c r="E16" s="14" t="s">
        <v>128</v>
      </c>
      <c r="F16" s="14">
        <v>1</v>
      </c>
      <c r="G16" s="14">
        <v>15000</v>
      </c>
      <c r="H16" s="14">
        <v>15000</v>
      </c>
      <c r="I16" s="14" t="s">
        <v>118</v>
      </c>
      <c r="J16" s="14" t="str">
        <f>_xlfn.XLOOKUP(C16,'STAFF TABLE'!A6:A15,'STAFF TABLE'!B6:B15)</f>
        <v>Kefilwe Sithole</v>
      </c>
      <c r="K16" s="14" t="str">
        <f>_xlfn.XLOOKUP(C16,'STAFF TABLE'!$A$2:$A$11,'STAFF TABLE'!$C$2:$C$11)</f>
        <v>Sandton Branch</v>
      </c>
      <c r="L16" s="14" t="str">
        <f>_xlfn.XLOOKUP(C16,'STAFF TABLE'!$A$2:$A$11,'STAFF TABLE'!$D$2:$D$11)</f>
        <v>Gauteng</v>
      </c>
      <c r="M16" s="14">
        <f>_xlfn.XLOOKUP(C16,'STAFF TABLE'!$A$2:$A$11,'STAFF TABLE'!$E$2:$E$11)</f>
        <v>0.08</v>
      </c>
      <c r="N16" s="14" t="str">
        <f>_xlfn.XLOOKUP(D16,'PRODUCT CATALOGUE'!$A$2:$A$13,'PRODUCT CATALOGUE'!$B$2:$B$13)</f>
        <v>Gaming Laptop</v>
      </c>
      <c r="O16" s="14" t="str">
        <f>_xlfn.XLOOKUP(D16,'PRODUCT CATALOGUE'!$A$2:$A$13,'PRODUCT CATALOGUE'!$C$2:$C$13)</f>
        <v>Electronics</v>
      </c>
      <c r="P16" s="14">
        <f>_xlfn.XLOOKUP(D16,'PRODUCT CATALOGUE'!$A$2:$A$13,'PRODUCT CATALOGUE'!$E$2:$E$13)</f>
        <v>9800</v>
      </c>
      <c r="Q16" s="14">
        <v>15000</v>
      </c>
      <c r="R16" s="14">
        <f t="shared" si="0"/>
        <v>5200</v>
      </c>
      <c r="S16" s="31">
        <f t="shared" si="1"/>
        <v>0.34666666666666668</v>
      </c>
      <c r="T16" s="14">
        <f t="shared" si="2"/>
        <v>1200</v>
      </c>
      <c r="U16" s="14" t="str">
        <f t="shared" si="3"/>
        <v>good</v>
      </c>
    </row>
    <row r="17" spans="1:21" ht="15" customHeight="1" x14ac:dyDescent="0.25">
      <c r="A17" s="8" t="s">
        <v>141</v>
      </c>
      <c r="B17" s="26" t="s">
        <v>142</v>
      </c>
      <c r="C17" s="8" t="s">
        <v>83</v>
      </c>
      <c r="D17" s="8" t="s">
        <v>45</v>
      </c>
      <c r="E17" s="8" t="s">
        <v>131</v>
      </c>
      <c r="F17" s="8">
        <v>1</v>
      </c>
      <c r="G17" s="8">
        <v>5500</v>
      </c>
      <c r="H17" s="8">
        <v>5500</v>
      </c>
      <c r="I17" s="8" t="s">
        <v>118</v>
      </c>
      <c r="J17" s="14" t="str">
        <f>_xlfn.XLOOKUP(C17,'STAFF TABLE'!A2:A11,'STAFF TABLE'!B2:B11)</f>
        <v>Riaan Botha</v>
      </c>
      <c r="K17" s="14" t="str">
        <f>_xlfn.XLOOKUP(C17,'STAFF TABLE'!$A$2:$A$11,'STAFF TABLE'!$C$2:$C$11)</f>
        <v>Sandton Branch</v>
      </c>
      <c r="L17" s="14" t="str">
        <f>_xlfn.XLOOKUP(C17,'STAFF TABLE'!$A$2:$A$11,'STAFF TABLE'!$D$2:$D$11)</f>
        <v>Gauteng</v>
      </c>
      <c r="M17" s="14">
        <f>_xlfn.XLOOKUP(C17,'STAFF TABLE'!$A$2:$A$11,'STAFF TABLE'!$E$2:$E$11)</f>
        <v>0.08</v>
      </c>
      <c r="N17" s="14" t="str">
        <f>_xlfn.XLOOKUP(D17,'PRODUCT CATALOGUE'!$A$2:$A$13,'PRODUCT CATALOGUE'!$B$2:$B$13)</f>
        <v>Standing Desk</v>
      </c>
      <c r="O17" s="14" t="str">
        <f>_xlfn.XLOOKUP(D17,'PRODUCT CATALOGUE'!$A$2:$A$13,'PRODUCT CATALOGUE'!$C$2:$C$13)</f>
        <v>Furniture</v>
      </c>
      <c r="P17" s="14">
        <f>_xlfn.XLOOKUP(D17,'PRODUCT CATALOGUE'!$A$2:$A$13,'PRODUCT CATALOGUE'!$E$2:$E$13)</f>
        <v>3100</v>
      </c>
      <c r="Q17" s="8">
        <v>5500</v>
      </c>
      <c r="R17" s="14">
        <f t="shared" si="0"/>
        <v>2400</v>
      </c>
      <c r="S17" s="31">
        <f t="shared" si="1"/>
        <v>0.43636363636363634</v>
      </c>
      <c r="T17" s="14">
        <f t="shared" si="2"/>
        <v>440</v>
      </c>
      <c r="U17" s="14" t="str">
        <f t="shared" si="3"/>
        <v>good</v>
      </c>
    </row>
    <row r="18" spans="1:21" ht="15" customHeight="1" x14ac:dyDescent="0.25">
      <c r="A18" s="14" t="s">
        <v>143</v>
      </c>
      <c r="B18" s="25" t="s">
        <v>144</v>
      </c>
      <c r="C18" s="14" t="s">
        <v>87</v>
      </c>
      <c r="D18" s="14" t="s">
        <v>53</v>
      </c>
      <c r="E18" s="14" t="s">
        <v>94</v>
      </c>
      <c r="F18" s="29">
        <v>-1</v>
      </c>
      <c r="G18" s="14">
        <v>2100</v>
      </c>
      <c r="H18" s="28"/>
      <c r="I18" s="14" t="s">
        <v>302</v>
      </c>
      <c r="J18" s="14" t="str">
        <f>_xlfn.XLOOKUP(C18,'STAFF TABLE'!A3:A12,'STAFF TABLE'!B3:B12)</f>
        <v>Lebo Mahlangu</v>
      </c>
      <c r="K18" s="14" t="str">
        <f>_xlfn.XLOOKUP(C18,'STAFF TABLE'!$A$2:$A$11,'STAFF TABLE'!$C$2:$C$11)</f>
        <v>Polokwane Branch</v>
      </c>
      <c r="L18" s="14" t="str">
        <f>_xlfn.XLOOKUP(C18,'STAFF TABLE'!$A$2:$A$11,'STAFF TABLE'!$D$2:$D$11)</f>
        <v>Limpopo</v>
      </c>
      <c r="M18" s="14">
        <f>_xlfn.XLOOKUP(C18,'STAFF TABLE'!$A$2:$A$11,'STAFF TABLE'!$E$2:$E$11)</f>
        <v>7.0000000000000007E-2</v>
      </c>
      <c r="N18" s="14" t="str">
        <f>_xlfn.XLOOKUP(D18,'PRODUCT CATALOGUE'!$A$2:$A$13,'PRODUCT CATALOGUE'!$B$2:$B$13)</f>
        <v>Mechanical Keyboard</v>
      </c>
      <c r="O18" s="14" t="str">
        <f>_xlfn.XLOOKUP(D18,'PRODUCT CATALOGUE'!$A$2:$A$13,'PRODUCT CATALOGUE'!$C$2:$C$13)</f>
        <v>Electronics</v>
      </c>
      <c r="P18" s="14">
        <f>_xlfn.XLOOKUP(D18,'PRODUCT CATALOGUE'!$A$2:$A$13,'PRODUCT CATALOGUE'!$E$2:$E$13)</f>
        <v>1100</v>
      </c>
      <c r="Q18" s="14">
        <v>-2100</v>
      </c>
      <c r="R18" s="14">
        <f t="shared" si="0"/>
        <v>-3200</v>
      </c>
      <c r="S18" s="31">
        <f t="shared" si="1"/>
        <v>1.5238095238095237</v>
      </c>
      <c r="T18" s="14">
        <f t="shared" si="2"/>
        <v>-147</v>
      </c>
      <c r="U18" s="29" t="str">
        <f t="shared" si="3"/>
        <v>false</v>
      </c>
    </row>
    <row r="19" spans="1:21" ht="15" customHeight="1" x14ac:dyDescent="0.25">
      <c r="A19" s="8" t="s">
        <v>145</v>
      </c>
      <c r="B19" s="26" t="s">
        <v>146</v>
      </c>
      <c r="C19" s="8" t="s">
        <v>71</v>
      </c>
      <c r="D19" s="8" t="s">
        <v>49</v>
      </c>
      <c r="E19" s="27" t="s">
        <v>300</v>
      </c>
      <c r="F19" s="8">
        <v>15</v>
      </c>
      <c r="G19" s="8">
        <v>350</v>
      </c>
      <c r="H19" s="8">
        <v>5250</v>
      </c>
      <c r="I19" s="8" t="s">
        <v>118</v>
      </c>
      <c r="J19" s="14" t="str">
        <f>_xlfn.XLOOKUP(C19,'STAFF TABLE'!A2:A11,'STAFF TABLE'!B2:B11)</f>
        <v>Thabo Nkosi</v>
      </c>
      <c r="K19" s="14" t="str">
        <f>_xlfn.XLOOKUP(C19,'STAFF TABLE'!$A$2:$A$11,'STAFF TABLE'!$C$2:$C$11)</f>
        <v>Sandton Branch</v>
      </c>
      <c r="L19" s="14" t="str">
        <f>_xlfn.XLOOKUP(C19,'STAFF TABLE'!$A$2:$A$11,'STAFF TABLE'!$D$2:$D$11)</f>
        <v>Gauteng</v>
      </c>
      <c r="M19" s="14">
        <f>_xlfn.XLOOKUP(C19,'STAFF TABLE'!$A$2:$A$11,'STAFF TABLE'!$E$2:$E$11)</f>
        <v>0.08</v>
      </c>
      <c r="N19" s="14" t="str">
        <f>_xlfn.XLOOKUP(D19,'PRODUCT CATALOGUE'!$A$2:$A$13,'PRODUCT CATALOGUE'!$B$2:$B$13)</f>
        <v>Notebook Bundle</v>
      </c>
      <c r="O19" s="14" t="str">
        <f>_xlfn.XLOOKUP(D19,'PRODUCT CATALOGUE'!$A$2:$A$13,'PRODUCT CATALOGUE'!$C$2:$C$13)</f>
        <v>Stationery</v>
      </c>
      <c r="P19" s="14">
        <f>_xlfn.XLOOKUP(D19,'PRODUCT CATALOGUE'!$A$2:$A$13,'PRODUCT CATALOGUE'!$E$2:$E$13)</f>
        <v>140</v>
      </c>
      <c r="Q19" s="8">
        <v>5250</v>
      </c>
      <c r="R19" s="14">
        <f t="shared" si="0"/>
        <v>5110</v>
      </c>
      <c r="S19" s="31">
        <f t="shared" si="1"/>
        <v>0.97333333333333338</v>
      </c>
      <c r="T19" s="14">
        <f t="shared" si="2"/>
        <v>420</v>
      </c>
      <c r="U19" s="14" t="str">
        <f t="shared" si="3"/>
        <v>good</v>
      </c>
    </row>
    <row r="20" spans="1:21" ht="15" customHeight="1" x14ac:dyDescent="0.25">
      <c r="A20" s="14" t="s">
        <v>147</v>
      </c>
      <c r="B20" s="25" t="s">
        <v>146</v>
      </c>
      <c r="C20" s="14" t="s">
        <v>148</v>
      </c>
      <c r="D20" s="14" t="s">
        <v>43</v>
      </c>
      <c r="E20" s="14" t="s">
        <v>98</v>
      </c>
      <c r="F20" s="14">
        <v>2</v>
      </c>
      <c r="G20" s="14">
        <v>1800</v>
      </c>
      <c r="H20" s="14">
        <v>3600</v>
      </c>
      <c r="I20" s="14" t="s">
        <v>118</v>
      </c>
      <c r="J20" s="14" t="str">
        <f>_xlfn.XLOOKUP(C20,'STAFF TABLE'!A5:A14,'STAFF TABLE'!B5:B14)</f>
        <v>Lebo Mahlangu</v>
      </c>
      <c r="K20" s="14" t="str">
        <f>_xlfn.XLOOKUP(C20,'STAFF TABLE'!$A$2:$A$11,'STAFF TABLE'!$C$2:$C$11)</f>
        <v>Polokwane Branch</v>
      </c>
      <c r="L20" s="14" t="str">
        <f>_xlfn.XLOOKUP(C20,'STAFF TABLE'!$A$2:$A$11,'STAFF TABLE'!$D$2:$D$11)</f>
        <v>Limpopo</v>
      </c>
      <c r="M20" s="14">
        <f>_xlfn.XLOOKUP(C20,'STAFF TABLE'!$A$2:$A$11,'STAFF TABLE'!$E$2:$E$11)</f>
        <v>7.0000000000000007E-2</v>
      </c>
      <c r="N20" s="14" t="str">
        <f>_xlfn.XLOOKUP(D20,'PRODUCT CATALOGUE'!$A$2:$A$13,'PRODUCT CATALOGUE'!$B$2:$B$13)</f>
        <v>Wireless Headset</v>
      </c>
      <c r="O20" s="14" t="str">
        <f>_xlfn.XLOOKUP(D20,'PRODUCT CATALOGUE'!$A$2:$A$13,'PRODUCT CATALOGUE'!$C$2:$C$13)</f>
        <v>Electronics</v>
      </c>
      <c r="P20" s="14">
        <f>_xlfn.XLOOKUP(D20,'PRODUCT CATALOGUE'!$A$2:$A$13,'PRODUCT CATALOGUE'!$E$2:$E$13)</f>
        <v>950</v>
      </c>
      <c r="Q20" s="14">
        <v>3600</v>
      </c>
      <c r="R20" s="14">
        <f t="shared" si="0"/>
        <v>2650</v>
      </c>
      <c r="S20" s="31">
        <f t="shared" si="1"/>
        <v>0.73611111111111116</v>
      </c>
      <c r="T20" s="14">
        <f t="shared" si="2"/>
        <v>252.00000000000003</v>
      </c>
      <c r="U20" s="14" t="str">
        <f t="shared" si="3"/>
        <v>good</v>
      </c>
    </row>
    <row r="21" spans="1:21" ht="15" customHeight="1" x14ac:dyDescent="0.25">
      <c r="A21" s="8" t="s">
        <v>149</v>
      </c>
      <c r="B21" s="26" t="s">
        <v>150</v>
      </c>
      <c r="C21" s="8" t="s">
        <v>97</v>
      </c>
      <c r="D21" s="8" t="s">
        <v>57</v>
      </c>
      <c r="E21" s="8" t="s">
        <v>96</v>
      </c>
      <c r="F21" s="8">
        <v>3</v>
      </c>
      <c r="G21" s="8">
        <v>4800</v>
      </c>
      <c r="H21" s="8">
        <v>14400</v>
      </c>
      <c r="I21" s="8" t="s">
        <v>118</v>
      </c>
      <c r="J21" s="14" t="str">
        <f>_xlfn.XLOOKUP(C21,'STAFF TABLE'!A11:A20,'STAFF TABLE'!B11:B20)</f>
        <v>Sipho Dlamini</v>
      </c>
      <c r="K21" s="14" t="str">
        <f>_xlfn.XLOOKUP(C21,'STAFF TABLE'!$A$2:$A$11,'STAFF TABLE'!$C$2:$C$11)</f>
        <v>Durban Branch</v>
      </c>
      <c r="L21" s="14" t="str">
        <f>_xlfn.XLOOKUP(C21,'STAFF TABLE'!$A$2:$A$11,'STAFF TABLE'!$D$2:$D$11)</f>
        <v>KZN</v>
      </c>
      <c r="M21" s="14">
        <f>_xlfn.XLOOKUP(C21,'STAFF TABLE'!$A$2:$A$11,'STAFF TABLE'!$E$2:$E$11)</f>
        <v>0.1</v>
      </c>
      <c r="N21" s="14" t="str">
        <f>_xlfn.XLOOKUP(D21,'PRODUCT CATALOGUE'!$A$2:$A$13,'PRODUCT CATALOGUE'!$B$2:$B$13)</f>
        <v>Monitor 27inch</v>
      </c>
      <c r="O21" s="14" t="str">
        <f>_xlfn.XLOOKUP(D21,'PRODUCT CATALOGUE'!$A$2:$A$13,'PRODUCT CATALOGUE'!$C$2:$C$13)</f>
        <v>Electronics</v>
      </c>
      <c r="P21" s="14">
        <f>_xlfn.XLOOKUP(D21,'PRODUCT CATALOGUE'!$A$2:$A$13,'PRODUCT CATALOGUE'!$E$2:$E$13)</f>
        <v>2900</v>
      </c>
      <c r="Q21" s="8">
        <v>14400</v>
      </c>
      <c r="R21" s="14">
        <f t="shared" si="0"/>
        <v>11500</v>
      </c>
      <c r="S21" s="31">
        <f t="shared" si="1"/>
        <v>0.79861111111111116</v>
      </c>
      <c r="T21" s="14">
        <f t="shared" si="2"/>
        <v>1440</v>
      </c>
      <c r="U21" s="14" t="str">
        <f t="shared" si="3"/>
        <v>good</v>
      </c>
    </row>
    <row r="22" spans="1:21" ht="15" customHeight="1" x14ac:dyDescent="0.25">
      <c r="A22" s="14" t="s">
        <v>151</v>
      </c>
      <c r="B22" s="25" t="s">
        <v>152</v>
      </c>
      <c r="C22" s="14" t="s">
        <v>91</v>
      </c>
      <c r="D22" s="14" t="s">
        <v>39</v>
      </c>
      <c r="E22" s="14" t="s">
        <v>76</v>
      </c>
      <c r="F22" s="14">
        <v>2</v>
      </c>
      <c r="G22" s="14">
        <v>3200</v>
      </c>
      <c r="H22" s="14">
        <v>6400</v>
      </c>
      <c r="I22" s="14" t="s">
        <v>153</v>
      </c>
      <c r="J22" s="14" t="str">
        <f>_xlfn.XLOOKUP(C22,'STAFF TABLE'!A2:A11,'STAFF TABLE'!B2:B11)</f>
        <v>Fatima Patel</v>
      </c>
      <c r="K22" s="14" t="str">
        <f>_xlfn.XLOOKUP(C22,'STAFF TABLE'!$A$2:$A$11,'STAFF TABLE'!$C$2:$C$11)</f>
        <v>Cape Town Branch</v>
      </c>
      <c r="L22" s="14" t="str">
        <f>_xlfn.XLOOKUP(C22,'STAFF TABLE'!$A$2:$A$11,'STAFF TABLE'!$D$2:$D$11)</f>
        <v>Western Cape</v>
      </c>
      <c r="M22" s="14">
        <f>_xlfn.XLOOKUP(C22,'STAFF TABLE'!$A$2:$A$11,'STAFF TABLE'!$E$2:$E$11)</f>
        <v>0.09</v>
      </c>
      <c r="N22" s="14" t="str">
        <f>_xlfn.XLOOKUP(D22,'PRODUCT CATALOGUE'!$A$2:$A$13,'PRODUCT CATALOGUE'!$B$2:$B$13)</f>
        <v>Office Chair</v>
      </c>
      <c r="O22" s="14" t="str">
        <f>_xlfn.XLOOKUP(D22,'PRODUCT CATALOGUE'!$A$2:$A$13,'PRODUCT CATALOGUE'!$C$2:$C$13)</f>
        <v>Furniture</v>
      </c>
      <c r="P22" s="14">
        <f>_xlfn.XLOOKUP(D22,'PRODUCT CATALOGUE'!$A$2:$A$13,'PRODUCT CATALOGUE'!$E$2:$E$13)</f>
        <v>1750</v>
      </c>
      <c r="Q22" s="14">
        <v>6400</v>
      </c>
      <c r="R22" s="14">
        <f t="shared" si="0"/>
        <v>4650</v>
      </c>
      <c r="S22" s="31">
        <f t="shared" si="1"/>
        <v>0.7265625</v>
      </c>
      <c r="T22" s="14">
        <f t="shared" si="2"/>
        <v>576</v>
      </c>
      <c r="U22" s="14" t="str">
        <f t="shared" si="3"/>
        <v>good</v>
      </c>
    </row>
    <row r="23" spans="1:21" ht="15" customHeight="1" x14ac:dyDescent="0.25">
      <c r="A23" s="8" t="s">
        <v>154</v>
      </c>
      <c r="B23" s="26" t="s">
        <v>155</v>
      </c>
      <c r="C23" s="8" t="s">
        <v>79</v>
      </c>
      <c r="D23" s="8" t="s">
        <v>59</v>
      </c>
      <c r="E23" s="8" t="s">
        <v>140</v>
      </c>
      <c r="F23" s="8">
        <v>6</v>
      </c>
      <c r="G23" s="8">
        <v>650</v>
      </c>
      <c r="H23" s="8">
        <v>3900</v>
      </c>
      <c r="I23" s="8" t="s">
        <v>118</v>
      </c>
      <c r="J23" s="14" t="str">
        <f>_xlfn.XLOOKUP(C23,'STAFF TABLE'!A3:A12,'STAFF TABLE'!B3:B12)</f>
        <v>Zanele Dlamini</v>
      </c>
      <c r="K23" s="14" t="str">
        <f>_xlfn.XLOOKUP(C23,'STAFF TABLE'!$A$2:$A$11,'STAFF TABLE'!$C$2:$C$11)</f>
        <v>Cape Town Branch</v>
      </c>
      <c r="L23" s="14" t="str">
        <f>_xlfn.XLOOKUP(C23,'STAFF TABLE'!$A$2:$A$11,'STAFF TABLE'!$D$2:$D$11)</f>
        <v>Western Cape</v>
      </c>
      <c r="M23" s="14">
        <f>_xlfn.XLOOKUP(C23,'STAFF TABLE'!$A$2:$A$11,'STAFF TABLE'!$E$2:$E$11)</f>
        <v>0.09</v>
      </c>
      <c r="N23" s="14" t="str">
        <f>_xlfn.XLOOKUP(D23,'PRODUCT CATALOGUE'!$A$2:$A$13,'PRODUCT CATALOGUE'!$B$2:$B$13)</f>
        <v>Ergonomic Mouse</v>
      </c>
      <c r="O23" s="14" t="str">
        <f>_xlfn.XLOOKUP(D23,'PRODUCT CATALOGUE'!$A$2:$A$13,'PRODUCT CATALOGUE'!$C$2:$C$13)</f>
        <v>Electronics</v>
      </c>
      <c r="P23" s="14">
        <f>_xlfn.XLOOKUP(D23,'PRODUCT CATALOGUE'!$A$2:$A$13,'PRODUCT CATALOGUE'!$E$2:$E$13)</f>
        <v>310</v>
      </c>
      <c r="Q23" s="8">
        <v>3900</v>
      </c>
      <c r="R23" s="14">
        <f t="shared" si="0"/>
        <v>3590</v>
      </c>
      <c r="S23" s="31">
        <f t="shared" si="1"/>
        <v>0.92051282051282046</v>
      </c>
      <c r="T23" s="14">
        <f t="shared" si="2"/>
        <v>351</v>
      </c>
      <c r="U23" s="14" t="str">
        <f t="shared" si="3"/>
        <v>good</v>
      </c>
    </row>
    <row r="24" spans="1:21" ht="15" customHeight="1" x14ac:dyDescent="0.25">
      <c r="A24" s="14" t="s">
        <v>156</v>
      </c>
      <c r="B24" s="25" t="s">
        <v>157</v>
      </c>
      <c r="C24" s="14" t="s">
        <v>85</v>
      </c>
      <c r="D24" s="14" t="s">
        <v>61</v>
      </c>
      <c r="E24" s="14" t="s">
        <v>84</v>
      </c>
      <c r="F24" s="14">
        <v>1</v>
      </c>
      <c r="G24" s="14">
        <v>2800</v>
      </c>
      <c r="H24" s="14">
        <v>2800</v>
      </c>
      <c r="I24" s="14" t="s">
        <v>118</v>
      </c>
      <c r="J24" s="14" t="str">
        <f>_xlfn.XLOOKUP(C24,'STAFF TABLE'!A4:A13,'STAFF TABLE'!B4:B13)</f>
        <v>Amahle Zulu</v>
      </c>
      <c r="K24" s="14" t="str">
        <f>_xlfn.XLOOKUP(C24,'STAFF TABLE'!$A$2:$A$11,'STAFF TABLE'!$C$2:$C$11)</f>
        <v>Durban Branch</v>
      </c>
      <c r="L24" s="14" t="str">
        <f>_xlfn.XLOOKUP(C24,'STAFF TABLE'!$A$2:$A$11,'STAFF TABLE'!$D$2:$D$11)</f>
        <v>KZN</v>
      </c>
      <c r="M24" s="14">
        <f>_xlfn.XLOOKUP(C24,'STAFF TABLE'!$A$2:$A$11,'STAFF TABLE'!$E$2:$E$11)</f>
        <v>0.1</v>
      </c>
      <c r="N24" s="14" t="str">
        <f>_xlfn.XLOOKUP(D24,'PRODUCT CATALOGUE'!$A$2:$A$13,'PRODUCT CATALOGUE'!$B$2:$B$13)</f>
        <v>Filing Cabinet</v>
      </c>
      <c r="O24" s="14" t="str">
        <f>_xlfn.XLOOKUP(D24,'PRODUCT CATALOGUE'!$A$2:$A$13,'PRODUCT CATALOGUE'!$C$2:$C$13)</f>
        <v>Furniture</v>
      </c>
      <c r="P24" s="14">
        <f>_xlfn.XLOOKUP(D24,'PRODUCT CATALOGUE'!$A$2:$A$13,'PRODUCT CATALOGUE'!$E$2:$E$13)</f>
        <v>1600</v>
      </c>
      <c r="Q24" s="14">
        <v>2800</v>
      </c>
      <c r="R24" s="14">
        <f t="shared" si="0"/>
        <v>1200</v>
      </c>
      <c r="S24" s="31">
        <f t="shared" si="1"/>
        <v>0.42857142857142855</v>
      </c>
      <c r="T24" s="14">
        <f t="shared" si="2"/>
        <v>280</v>
      </c>
      <c r="U24" s="14" t="str">
        <f t="shared" si="3"/>
        <v>good</v>
      </c>
    </row>
    <row r="25" spans="1:21" ht="15" customHeight="1" x14ac:dyDescent="0.25">
      <c r="A25" s="8" t="s">
        <v>158</v>
      </c>
      <c r="B25" s="26" t="s">
        <v>157</v>
      </c>
      <c r="C25" s="8" t="s">
        <v>93</v>
      </c>
      <c r="D25" s="8" t="s">
        <v>35</v>
      </c>
      <c r="E25" s="8" t="s">
        <v>86</v>
      </c>
      <c r="F25" s="8">
        <v>2</v>
      </c>
      <c r="G25" s="8">
        <v>15000</v>
      </c>
      <c r="H25" s="28">
        <v>28000</v>
      </c>
      <c r="I25" s="8" t="s">
        <v>118</v>
      </c>
      <c r="J25" s="14" t="str">
        <f>_xlfn.XLOOKUP(C25,'STAFF TABLE'!A5:A14,'STAFF TABLE'!B5:B14)</f>
        <v>Kefilwe Sithole</v>
      </c>
      <c r="K25" s="14" t="str">
        <f>_xlfn.XLOOKUP(C25,'STAFF TABLE'!$A$2:$A$11,'STAFF TABLE'!$C$2:$C$11)</f>
        <v>Sandton Branch</v>
      </c>
      <c r="L25" s="14" t="str">
        <f>_xlfn.XLOOKUP(C25,'STAFF TABLE'!$A$2:$A$11,'STAFF TABLE'!$D$2:$D$11)</f>
        <v>Gauteng</v>
      </c>
      <c r="M25" s="14">
        <f>_xlfn.XLOOKUP(C25,'STAFF TABLE'!$A$2:$A$11,'STAFF TABLE'!$E$2:$E$11)</f>
        <v>0.08</v>
      </c>
      <c r="N25" s="14" t="str">
        <f>_xlfn.XLOOKUP(D25,'PRODUCT CATALOGUE'!$A$2:$A$13,'PRODUCT CATALOGUE'!$B$2:$B$13)</f>
        <v>Gaming Laptop</v>
      </c>
      <c r="O25" s="14" t="str">
        <f>_xlfn.XLOOKUP(D25,'PRODUCT CATALOGUE'!$A$2:$A$13,'PRODUCT CATALOGUE'!$C$2:$C$13)</f>
        <v>Electronics</v>
      </c>
      <c r="P25" s="14">
        <f>_xlfn.XLOOKUP(D25,'PRODUCT CATALOGUE'!$A$2:$A$13,'PRODUCT CATALOGUE'!$E$2:$E$13)</f>
        <v>9800</v>
      </c>
      <c r="Q25" s="8">
        <v>30000</v>
      </c>
      <c r="R25" s="14">
        <f t="shared" si="0"/>
        <v>20200</v>
      </c>
      <c r="S25" s="31">
        <f t="shared" si="1"/>
        <v>0.67333333333333334</v>
      </c>
      <c r="T25" s="14">
        <f t="shared" si="2"/>
        <v>2400</v>
      </c>
      <c r="U25" s="14" t="str">
        <f t="shared" si="3"/>
        <v>good</v>
      </c>
    </row>
    <row r="26" spans="1:21" ht="15" customHeight="1" x14ac:dyDescent="0.25">
      <c r="A26" s="14" t="s">
        <v>159</v>
      </c>
      <c r="B26" s="25" t="s">
        <v>160</v>
      </c>
      <c r="C26" s="14" t="s">
        <v>75</v>
      </c>
      <c r="D26" s="14" t="s">
        <v>55</v>
      </c>
      <c r="E26" s="14" t="s">
        <v>88</v>
      </c>
      <c r="F26" s="14">
        <v>4</v>
      </c>
      <c r="G26" s="14">
        <v>890</v>
      </c>
      <c r="H26" s="14">
        <v>3560</v>
      </c>
      <c r="I26" s="14" t="s">
        <v>118</v>
      </c>
      <c r="J26" s="14" t="str">
        <f>_xlfn.XLOOKUP(C26,'STAFF TABLE'!$A$2:$A$11,'STAFF TABLE'!$B$2:$B$11)</f>
        <v>Priya Pillay</v>
      </c>
      <c r="K26" s="14" t="str">
        <f>_xlfn.XLOOKUP(C26,'STAFF TABLE'!$A$2:$A$11,'STAFF TABLE'!$C$2:$C$11)</f>
        <v>Durban Branch</v>
      </c>
      <c r="L26" s="14" t="str">
        <f>_xlfn.XLOOKUP(C26,'STAFF TABLE'!$A$2:$A$11,'STAFF TABLE'!$D$2:$D$11)</f>
        <v>KZN</v>
      </c>
      <c r="M26" s="14">
        <f>_xlfn.XLOOKUP(C26,'STAFF TABLE'!$A$2:$A$11,'STAFF TABLE'!$E$2:$E$11)</f>
        <v>0.1</v>
      </c>
      <c r="N26" s="14" t="str">
        <f>_xlfn.XLOOKUP(D26,'PRODUCT CATALOGUE'!$A$2:$A$13,'PRODUCT CATALOGUE'!$B$2:$B$13)</f>
        <v>Whiteboard</v>
      </c>
      <c r="O26" s="14" t="str">
        <f>_xlfn.XLOOKUP(D26,'PRODUCT CATALOGUE'!$A$2:$A$13,'PRODUCT CATALOGUE'!$C$2:$C$13)</f>
        <v>Stationery</v>
      </c>
      <c r="P26" s="14">
        <f>_xlfn.XLOOKUP(D26,'PRODUCT CATALOGUE'!$A$2:$A$13,'PRODUCT CATALOGUE'!$E$2:$E$13)</f>
        <v>420</v>
      </c>
      <c r="Q26" s="14">
        <v>3560</v>
      </c>
      <c r="R26" s="14">
        <f t="shared" si="0"/>
        <v>3140</v>
      </c>
      <c r="S26" s="31">
        <f t="shared" si="1"/>
        <v>0.8820224719101124</v>
      </c>
      <c r="T26" s="14">
        <f t="shared" si="2"/>
        <v>356</v>
      </c>
      <c r="U26" s="14" t="str">
        <f t="shared" si="3"/>
        <v>good</v>
      </c>
    </row>
    <row r="27" spans="1:21" ht="15" customHeight="1" x14ac:dyDescent="0.25">
      <c r="A27" s="8" t="s">
        <v>161</v>
      </c>
      <c r="B27" s="26" t="s">
        <v>162</v>
      </c>
      <c r="C27" s="8" t="s">
        <v>95</v>
      </c>
      <c r="D27" s="8" t="s">
        <v>49</v>
      </c>
      <c r="E27" s="8" t="s">
        <v>92</v>
      </c>
      <c r="F27" s="8">
        <v>20</v>
      </c>
      <c r="G27" s="8">
        <v>350</v>
      </c>
      <c r="H27" s="8">
        <v>7000</v>
      </c>
      <c r="I27" s="8" t="s">
        <v>118</v>
      </c>
      <c r="J27" s="14" t="str">
        <f>_xlfn.XLOOKUP(C27,'STAFF TABLE'!$A$2:$A$11,'STAFF TABLE'!$B$2:$B$11)</f>
        <v>David Moyo</v>
      </c>
      <c r="K27" s="14" t="str">
        <f>_xlfn.XLOOKUP(C27,'STAFF TABLE'!$A$2:$A$11,'STAFF TABLE'!$C$2:$C$11)</f>
        <v>Polokwane Branch</v>
      </c>
      <c r="L27" s="14" t="str">
        <f>_xlfn.XLOOKUP(C27,'STAFF TABLE'!$A$2:$A$11,'STAFF TABLE'!$D$2:$D$11)</f>
        <v>Limpopo</v>
      </c>
      <c r="M27" s="14">
        <f>_xlfn.XLOOKUP(C27,'STAFF TABLE'!$A$2:$A$11,'STAFF TABLE'!$E$2:$E$11)</f>
        <v>7.0000000000000007E-2</v>
      </c>
      <c r="N27" s="14" t="str">
        <f>_xlfn.XLOOKUP(D27,'PRODUCT CATALOGUE'!$A$2:$A$13,'PRODUCT CATALOGUE'!$B$2:$B$13)</f>
        <v>Notebook Bundle</v>
      </c>
      <c r="O27" s="14" t="str">
        <f>_xlfn.XLOOKUP(D27,'PRODUCT CATALOGUE'!$A$2:$A$13,'PRODUCT CATALOGUE'!$C$2:$C$13)</f>
        <v>Stationery</v>
      </c>
      <c r="P27" s="14">
        <f>_xlfn.XLOOKUP(D27,'PRODUCT CATALOGUE'!$A$2:$A$13,'PRODUCT CATALOGUE'!$E$2:$E$13)</f>
        <v>140</v>
      </c>
      <c r="Q27" s="8">
        <v>7000</v>
      </c>
      <c r="R27" s="14">
        <f t="shared" si="0"/>
        <v>6860</v>
      </c>
      <c r="S27" s="31">
        <f t="shared" si="1"/>
        <v>0.98</v>
      </c>
      <c r="T27" s="14">
        <f t="shared" si="2"/>
        <v>490.00000000000006</v>
      </c>
      <c r="U27" s="14" t="str">
        <f t="shared" si="3"/>
        <v>good</v>
      </c>
    </row>
    <row r="28" spans="1:21" ht="15" customHeight="1" x14ac:dyDescent="0.25">
      <c r="A28" s="14" t="s">
        <v>163</v>
      </c>
      <c r="B28" s="25" t="s">
        <v>164</v>
      </c>
      <c r="C28" s="14" t="s">
        <v>71</v>
      </c>
      <c r="D28" s="14" t="s">
        <v>47</v>
      </c>
      <c r="E28" s="14" t="s">
        <v>128</v>
      </c>
      <c r="F28" s="14">
        <v>2</v>
      </c>
      <c r="G28" s="14">
        <v>1200</v>
      </c>
      <c r="H28" s="14">
        <v>2400</v>
      </c>
      <c r="I28" s="14" t="s">
        <v>118</v>
      </c>
      <c r="J28" s="14" t="str">
        <f>_xlfn.XLOOKUP(C28,'STAFF TABLE'!$A$2:$A$11,'STAFF TABLE'!$B$2:$B$11)</f>
        <v>Thabo Nkosi</v>
      </c>
      <c r="K28" s="14" t="str">
        <f>_xlfn.XLOOKUP(C28,'STAFF TABLE'!$A$2:$A$11,'STAFF TABLE'!$C$2:$C$11)</f>
        <v>Sandton Branch</v>
      </c>
      <c r="L28" s="14" t="str">
        <f>_xlfn.XLOOKUP(C28,'STAFF TABLE'!$A$2:$A$11,'STAFF TABLE'!$D$2:$D$11)</f>
        <v>Gauteng</v>
      </c>
      <c r="M28" s="14">
        <f>_xlfn.XLOOKUP(C28,'STAFF TABLE'!$A$2:$A$11,'STAFF TABLE'!$E$2:$E$11)</f>
        <v>0.08</v>
      </c>
      <c r="N28" s="14" t="str">
        <f>_xlfn.XLOOKUP(D28,'PRODUCT CATALOGUE'!$A$2:$A$13,'PRODUCT CATALOGUE'!$B$2:$B$13)</f>
        <v>Webcam HD</v>
      </c>
      <c r="O28" s="14" t="str">
        <f>_xlfn.XLOOKUP(D28,'PRODUCT CATALOGUE'!$A$2:$A$13,'PRODUCT CATALOGUE'!$C$2:$C$13)</f>
        <v>Electronics</v>
      </c>
      <c r="P28" s="14">
        <f>_xlfn.XLOOKUP(D28,'PRODUCT CATALOGUE'!$A$2:$A$13,'PRODUCT CATALOGUE'!$E$2:$E$13)</f>
        <v>620</v>
      </c>
      <c r="Q28" s="14">
        <v>2400</v>
      </c>
      <c r="R28" s="14">
        <f t="shared" si="0"/>
        <v>1780</v>
      </c>
      <c r="S28" s="31">
        <f t="shared" si="1"/>
        <v>0.7416666666666667</v>
      </c>
      <c r="T28" s="14">
        <f t="shared" si="2"/>
        <v>192</v>
      </c>
      <c r="U28" s="14" t="str">
        <f t="shared" si="3"/>
        <v>good</v>
      </c>
    </row>
    <row r="29" spans="1:21" ht="15" customHeight="1" x14ac:dyDescent="0.25">
      <c r="A29" s="8" t="s">
        <v>165</v>
      </c>
      <c r="B29" s="26" t="s">
        <v>166</v>
      </c>
      <c r="C29" s="8" t="s">
        <v>83</v>
      </c>
      <c r="D29" s="8" t="s">
        <v>57</v>
      </c>
      <c r="E29" s="8" t="s">
        <v>131</v>
      </c>
      <c r="F29" s="8">
        <v>1</v>
      </c>
      <c r="G29" s="8">
        <v>4800</v>
      </c>
      <c r="H29" s="28" t="s">
        <v>167</v>
      </c>
      <c r="I29" s="8" t="s">
        <v>118</v>
      </c>
      <c r="J29" s="14" t="str">
        <f>_xlfn.XLOOKUP(C29,'STAFF TABLE'!$A$2:$A$11,'STAFF TABLE'!$B$2:$B$11)</f>
        <v>Riaan Botha</v>
      </c>
      <c r="K29" s="14" t="str">
        <f>_xlfn.XLOOKUP(C29,'STAFF TABLE'!$A$2:$A$11,'STAFF TABLE'!$C$2:$C$11)</f>
        <v>Sandton Branch</v>
      </c>
      <c r="L29" s="14" t="str">
        <f>_xlfn.XLOOKUP(C29,'STAFF TABLE'!$A$2:$A$11,'STAFF TABLE'!$D$2:$D$11)</f>
        <v>Gauteng</v>
      </c>
      <c r="M29" s="14">
        <f>_xlfn.XLOOKUP(C29,'STAFF TABLE'!$A$2:$A$11,'STAFF TABLE'!$E$2:$E$11)</f>
        <v>0.08</v>
      </c>
      <c r="N29" s="14" t="str">
        <f>_xlfn.XLOOKUP(D29,'PRODUCT CATALOGUE'!$A$2:$A$13,'PRODUCT CATALOGUE'!$B$2:$B$13)</f>
        <v>Monitor 27inch</v>
      </c>
      <c r="O29" s="14" t="str">
        <f>_xlfn.XLOOKUP(D29,'PRODUCT CATALOGUE'!$A$2:$A$13,'PRODUCT CATALOGUE'!$C$2:$C$13)</f>
        <v>Electronics</v>
      </c>
      <c r="P29" s="14">
        <f>_xlfn.XLOOKUP(D29,'PRODUCT CATALOGUE'!$A$2:$A$13,'PRODUCT CATALOGUE'!$E$2:$E$13)</f>
        <v>2900</v>
      </c>
      <c r="Q29" s="8">
        <v>4800</v>
      </c>
      <c r="R29" s="14">
        <f t="shared" si="0"/>
        <v>1900</v>
      </c>
      <c r="S29" s="31">
        <f t="shared" si="1"/>
        <v>0.39583333333333331</v>
      </c>
      <c r="T29" s="14">
        <f t="shared" si="2"/>
        <v>384</v>
      </c>
      <c r="U29" s="14" t="str">
        <f t="shared" si="3"/>
        <v>good</v>
      </c>
    </row>
    <row r="30" spans="1:21" ht="15" customHeight="1" x14ac:dyDescent="0.25">
      <c r="A30" s="14" t="s">
        <v>168</v>
      </c>
      <c r="B30" s="25" t="s">
        <v>166</v>
      </c>
      <c r="C30" s="14" t="s">
        <v>91</v>
      </c>
      <c r="D30" s="14" t="s">
        <v>63</v>
      </c>
      <c r="E30" s="14" t="s">
        <v>94</v>
      </c>
      <c r="F30" s="14">
        <v>25</v>
      </c>
      <c r="G30" s="14">
        <v>120</v>
      </c>
      <c r="H30" s="14">
        <v>3000</v>
      </c>
      <c r="I30" s="14" t="s">
        <v>118</v>
      </c>
      <c r="J30" s="14" t="str">
        <f>_xlfn.XLOOKUP(C30,'STAFF TABLE'!$A$2:$A$11,'STAFF TABLE'!$B$2:$B$11)</f>
        <v>Fatima Patel</v>
      </c>
      <c r="K30" s="14" t="str">
        <f>_xlfn.XLOOKUP(C30,'STAFF TABLE'!$A$2:$A$11,'STAFF TABLE'!$C$2:$C$11)</f>
        <v>Cape Town Branch</v>
      </c>
      <c r="L30" s="14" t="str">
        <f>_xlfn.XLOOKUP(C30,'STAFF TABLE'!$A$2:$A$11,'STAFF TABLE'!$D$2:$D$11)</f>
        <v>Western Cape</v>
      </c>
      <c r="M30" s="14">
        <f>_xlfn.XLOOKUP(C30,'STAFF TABLE'!$A$2:$A$11,'STAFF TABLE'!$E$2:$E$11)</f>
        <v>0.09</v>
      </c>
      <c r="N30" s="14" t="str">
        <f>_xlfn.XLOOKUP(D30,'PRODUCT CATALOGUE'!$A$2:$A$13,'PRODUCT CATALOGUE'!$B$2:$B$13)</f>
        <v>Printer Paper Ream</v>
      </c>
      <c r="O30" s="14" t="str">
        <f>_xlfn.XLOOKUP(D30,'PRODUCT CATALOGUE'!$A$2:$A$13,'PRODUCT CATALOGUE'!$C$2:$C$13)</f>
        <v>Stationery</v>
      </c>
      <c r="P30" s="14">
        <f>_xlfn.XLOOKUP(D30,'PRODUCT CATALOGUE'!$A$2:$A$13,'PRODUCT CATALOGUE'!$E$2:$E$13)</f>
        <v>55</v>
      </c>
      <c r="Q30" s="14">
        <v>3000</v>
      </c>
      <c r="R30" s="14">
        <f t="shared" si="0"/>
        <v>2945</v>
      </c>
      <c r="S30" s="31">
        <f t="shared" si="1"/>
        <v>0.98166666666666669</v>
      </c>
      <c r="T30" s="14">
        <f t="shared" si="2"/>
        <v>270</v>
      </c>
      <c r="U30" s="14" t="str">
        <f t="shared" si="3"/>
        <v>good</v>
      </c>
    </row>
    <row r="31" spans="1:21" ht="15" customHeight="1" x14ac:dyDescent="0.25">
      <c r="A31" s="8" t="s">
        <v>169</v>
      </c>
      <c r="B31" s="26" t="s">
        <v>170</v>
      </c>
      <c r="C31" s="8" t="s">
        <v>97</v>
      </c>
      <c r="D31" s="8" t="s">
        <v>53</v>
      </c>
      <c r="E31" s="8" t="s">
        <v>98</v>
      </c>
      <c r="F31" s="8">
        <v>2</v>
      </c>
      <c r="G31" s="8">
        <v>2100</v>
      </c>
      <c r="H31" s="8">
        <v>4200</v>
      </c>
      <c r="I31" s="8" t="s">
        <v>118</v>
      </c>
      <c r="J31" s="14" t="str">
        <f>_xlfn.XLOOKUP(C31,'STAFF TABLE'!$A$2:$A$11,'STAFF TABLE'!$B$2:$B$11)</f>
        <v>Sipho Dlamini</v>
      </c>
      <c r="K31" s="14" t="str">
        <f>_xlfn.XLOOKUP(C31,'STAFF TABLE'!$A$2:$A$11,'STAFF TABLE'!$C$2:$C$11)</f>
        <v>Durban Branch</v>
      </c>
      <c r="L31" s="14" t="str">
        <f>_xlfn.XLOOKUP(C31,'STAFF TABLE'!$A$2:$A$11,'STAFF TABLE'!$D$2:$D$11)</f>
        <v>KZN</v>
      </c>
      <c r="M31" s="14">
        <f>_xlfn.XLOOKUP(C31,'STAFF TABLE'!$A$2:$A$11,'STAFF TABLE'!$E$2:$E$11)</f>
        <v>0.1</v>
      </c>
      <c r="N31" s="14" t="str">
        <f>_xlfn.XLOOKUP(D31,'PRODUCT CATALOGUE'!$A$2:$A$13,'PRODUCT CATALOGUE'!$B$2:$B$13)</f>
        <v>Mechanical Keyboard</v>
      </c>
      <c r="O31" s="14" t="str">
        <f>_xlfn.XLOOKUP(D31,'PRODUCT CATALOGUE'!$A$2:$A$13,'PRODUCT CATALOGUE'!$C$2:$C$13)</f>
        <v>Electronics</v>
      </c>
      <c r="P31" s="14">
        <f>_xlfn.XLOOKUP(D31,'PRODUCT CATALOGUE'!$A$2:$A$13,'PRODUCT CATALOGUE'!$E$2:$E$13)</f>
        <v>1100</v>
      </c>
      <c r="Q31" s="8">
        <v>4200</v>
      </c>
      <c r="R31" s="14">
        <f t="shared" si="0"/>
        <v>3100</v>
      </c>
      <c r="S31" s="31">
        <f t="shared" si="1"/>
        <v>0.73809523809523814</v>
      </c>
      <c r="T31" s="14">
        <f t="shared" si="2"/>
        <v>420</v>
      </c>
      <c r="U31" s="14" t="str">
        <f t="shared" si="3"/>
        <v>good</v>
      </c>
    </row>
    <row r="32" spans="1:21" ht="15" customHeight="1" x14ac:dyDescent="0.25">
      <c r="A32" s="14" t="s">
        <v>171</v>
      </c>
      <c r="B32" s="25" t="s">
        <v>172</v>
      </c>
      <c r="C32" s="14" t="s">
        <v>79</v>
      </c>
      <c r="D32" s="14" t="s">
        <v>35</v>
      </c>
      <c r="E32" s="14" t="s">
        <v>96</v>
      </c>
      <c r="F32" s="14">
        <v>1</v>
      </c>
      <c r="G32" s="14">
        <v>15000</v>
      </c>
      <c r="H32" s="14">
        <v>15000</v>
      </c>
      <c r="I32" s="14" t="s">
        <v>118</v>
      </c>
      <c r="J32" s="14" t="str">
        <f>_xlfn.XLOOKUP(C32,'STAFF TABLE'!$A$2:$A$11,'STAFF TABLE'!$B$2:$B$11)</f>
        <v>Zanele Dlamini</v>
      </c>
      <c r="K32" s="14" t="str">
        <f>_xlfn.XLOOKUP(C32,'STAFF TABLE'!$A$2:$A$11,'STAFF TABLE'!$C$2:$C$11)</f>
        <v>Cape Town Branch</v>
      </c>
      <c r="L32" s="14" t="str">
        <f>_xlfn.XLOOKUP(C32,'STAFF TABLE'!$A$2:$A$11,'STAFF TABLE'!$D$2:$D$11)</f>
        <v>Western Cape</v>
      </c>
      <c r="M32" s="14">
        <f>_xlfn.XLOOKUP(C32,'STAFF TABLE'!$A$2:$A$11,'STAFF TABLE'!$E$2:$E$11)</f>
        <v>0.09</v>
      </c>
      <c r="N32" s="14" t="str">
        <f>_xlfn.XLOOKUP(D32,'PRODUCT CATALOGUE'!$A$2:$A$13,'PRODUCT CATALOGUE'!$B$2:$B$13)</f>
        <v>Gaming Laptop</v>
      </c>
      <c r="O32" s="14" t="str">
        <f>_xlfn.XLOOKUP(D32,'PRODUCT CATALOGUE'!$A$2:$A$13,'PRODUCT CATALOGUE'!$C$2:$C$13)</f>
        <v>Electronics</v>
      </c>
      <c r="P32" s="14">
        <f>_xlfn.XLOOKUP(D32,'PRODUCT CATALOGUE'!$A$2:$A$13,'PRODUCT CATALOGUE'!$E$2:$E$13)</f>
        <v>9800</v>
      </c>
      <c r="Q32" s="14">
        <v>15000</v>
      </c>
      <c r="R32" s="14">
        <f t="shared" si="0"/>
        <v>5200</v>
      </c>
      <c r="S32" s="31">
        <f t="shared" si="1"/>
        <v>0.34666666666666668</v>
      </c>
      <c r="T32" s="14">
        <f t="shared" si="2"/>
        <v>1350</v>
      </c>
      <c r="U32" s="14" t="str">
        <f t="shared" si="3"/>
        <v>good</v>
      </c>
    </row>
    <row r="33" spans="1:21" ht="15" customHeight="1" x14ac:dyDescent="0.25">
      <c r="A33" s="8" t="s">
        <v>173</v>
      </c>
      <c r="B33" s="26" t="s">
        <v>174</v>
      </c>
      <c r="C33" s="8" t="s">
        <v>87</v>
      </c>
      <c r="D33" s="8" t="s">
        <v>45</v>
      </c>
      <c r="E33" s="27" t="s">
        <v>300</v>
      </c>
      <c r="F33" s="8">
        <v>2</v>
      </c>
      <c r="G33" s="8">
        <v>5500</v>
      </c>
      <c r="H33" s="8">
        <v>11000</v>
      </c>
      <c r="I33" s="8" t="s">
        <v>118</v>
      </c>
      <c r="J33" s="14" t="str">
        <f>_xlfn.XLOOKUP(C33,'STAFF TABLE'!$A$2:$A$11,'STAFF TABLE'!$B$2:$B$11)</f>
        <v>Lebo Mahlangu</v>
      </c>
      <c r="K33" s="14" t="str">
        <f>_xlfn.XLOOKUP(C33,'STAFF TABLE'!$A$2:$A$11,'STAFF TABLE'!$C$2:$C$11)</f>
        <v>Polokwane Branch</v>
      </c>
      <c r="L33" s="14" t="str">
        <f>_xlfn.XLOOKUP(C33,'STAFF TABLE'!$A$2:$A$11,'STAFF TABLE'!$D$2:$D$11)</f>
        <v>Limpopo</v>
      </c>
      <c r="M33" s="14">
        <f>_xlfn.XLOOKUP(C33,'STAFF TABLE'!$A$2:$A$11,'STAFF TABLE'!$E$2:$E$11)</f>
        <v>7.0000000000000007E-2</v>
      </c>
      <c r="N33" s="14" t="str">
        <f>_xlfn.XLOOKUP(D33,'PRODUCT CATALOGUE'!$A$2:$A$13,'PRODUCT CATALOGUE'!$B$2:$B$13)</f>
        <v>Standing Desk</v>
      </c>
      <c r="O33" s="14" t="str">
        <f>_xlfn.XLOOKUP(D33,'PRODUCT CATALOGUE'!$A$2:$A$13,'PRODUCT CATALOGUE'!$C$2:$C$13)</f>
        <v>Furniture</v>
      </c>
      <c r="P33" s="14">
        <f>_xlfn.XLOOKUP(D33,'PRODUCT CATALOGUE'!$A$2:$A$13,'PRODUCT CATALOGUE'!$E$2:$E$13)</f>
        <v>3100</v>
      </c>
      <c r="Q33" s="8">
        <v>11000</v>
      </c>
      <c r="R33" s="14">
        <f t="shared" si="0"/>
        <v>7900</v>
      </c>
      <c r="S33" s="31">
        <f t="shared" si="1"/>
        <v>0.71818181818181814</v>
      </c>
      <c r="T33" s="14">
        <f t="shared" si="2"/>
        <v>770.00000000000011</v>
      </c>
      <c r="U33" s="14" t="str">
        <f t="shared" si="3"/>
        <v>good</v>
      </c>
    </row>
    <row r="34" spans="1:21" ht="15" customHeight="1" x14ac:dyDescent="0.25">
      <c r="A34" s="14" t="s">
        <v>175</v>
      </c>
      <c r="B34" s="25" t="s">
        <v>176</v>
      </c>
      <c r="C34" s="14" t="s">
        <v>71</v>
      </c>
      <c r="D34" s="14" t="s">
        <v>43</v>
      </c>
      <c r="E34" s="14" t="s">
        <v>76</v>
      </c>
      <c r="F34" s="14">
        <v>3</v>
      </c>
      <c r="G34" s="14">
        <v>1800</v>
      </c>
      <c r="H34" s="14">
        <v>5400</v>
      </c>
      <c r="I34" s="14" t="s">
        <v>118</v>
      </c>
      <c r="J34" s="14" t="str">
        <f>_xlfn.XLOOKUP(C34,'STAFF TABLE'!$A$2:$A$11,'STAFF TABLE'!$B$2:$B$11)</f>
        <v>Thabo Nkosi</v>
      </c>
      <c r="K34" s="14" t="str">
        <f>_xlfn.XLOOKUP(C34,'STAFF TABLE'!$A$2:$A$11,'STAFF TABLE'!$C$2:$C$11)</f>
        <v>Sandton Branch</v>
      </c>
      <c r="L34" s="14" t="str">
        <f>_xlfn.XLOOKUP(C34,'STAFF TABLE'!$A$2:$A$11,'STAFF TABLE'!$D$2:$D$11)</f>
        <v>Gauteng</v>
      </c>
      <c r="M34" s="14">
        <f>_xlfn.XLOOKUP(C34,'STAFF TABLE'!$A$2:$A$11,'STAFF TABLE'!$E$2:$E$11)</f>
        <v>0.08</v>
      </c>
      <c r="N34" s="14" t="str">
        <f>_xlfn.XLOOKUP(D34,'PRODUCT CATALOGUE'!$A$2:$A$13,'PRODUCT CATALOGUE'!$B$2:$B$13)</f>
        <v>Wireless Headset</v>
      </c>
      <c r="O34" s="14" t="str">
        <f>_xlfn.XLOOKUP(D34,'PRODUCT CATALOGUE'!$A$2:$A$13,'PRODUCT CATALOGUE'!$C$2:$C$13)</f>
        <v>Electronics</v>
      </c>
      <c r="P34" s="14">
        <f>_xlfn.XLOOKUP(D34,'PRODUCT CATALOGUE'!$A$2:$A$13,'PRODUCT CATALOGUE'!$E$2:$E$13)</f>
        <v>950</v>
      </c>
      <c r="Q34" s="14">
        <v>5400</v>
      </c>
      <c r="R34" s="14">
        <f t="shared" si="0"/>
        <v>4450</v>
      </c>
      <c r="S34" s="31">
        <f t="shared" si="1"/>
        <v>0.82407407407407407</v>
      </c>
      <c r="T34" s="14">
        <f t="shared" si="2"/>
        <v>432</v>
      </c>
      <c r="U34" s="14" t="str">
        <f t="shared" si="3"/>
        <v>good</v>
      </c>
    </row>
    <row r="35" spans="1:21" ht="15" customHeight="1" x14ac:dyDescent="0.25">
      <c r="A35" s="8" t="s">
        <v>177</v>
      </c>
      <c r="B35" s="26" t="s">
        <v>176</v>
      </c>
      <c r="C35" s="8" t="s">
        <v>85</v>
      </c>
      <c r="D35" s="8" t="s">
        <v>55</v>
      </c>
      <c r="E35" s="8" t="s">
        <v>140</v>
      </c>
      <c r="F35" s="8">
        <v>5</v>
      </c>
      <c r="G35" s="8">
        <v>890</v>
      </c>
      <c r="H35" s="8">
        <v>4450</v>
      </c>
      <c r="I35" s="8" t="s">
        <v>118</v>
      </c>
      <c r="J35" s="14" t="str">
        <f>_xlfn.XLOOKUP(C35,'STAFF TABLE'!$A$2:$A$11,'STAFF TABLE'!$B$2:$B$11)</f>
        <v>Amahle Zulu</v>
      </c>
      <c r="K35" s="14" t="str">
        <f>_xlfn.XLOOKUP(C35,'STAFF TABLE'!$A$2:$A$11,'STAFF TABLE'!$C$2:$C$11)</f>
        <v>Durban Branch</v>
      </c>
      <c r="L35" s="14" t="str">
        <f>_xlfn.XLOOKUP(C35,'STAFF TABLE'!$A$2:$A$11,'STAFF TABLE'!$D$2:$D$11)</f>
        <v>KZN</v>
      </c>
      <c r="M35" s="14">
        <f>_xlfn.XLOOKUP(C35,'STAFF TABLE'!$A$2:$A$11,'STAFF TABLE'!$E$2:$E$11)</f>
        <v>0.1</v>
      </c>
      <c r="N35" s="14" t="str">
        <f>_xlfn.XLOOKUP(D35,'PRODUCT CATALOGUE'!$A$2:$A$13,'PRODUCT CATALOGUE'!$B$2:$B$13)</f>
        <v>Whiteboard</v>
      </c>
      <c r="O35" s="14" t="str">
        <f>_xlfn.XLOOKUP(D35,'PRODUCT CATALOGUE'!$A$2:$A$13,'PRODUCT CATALOGUE'!$C$2:$C$13)</f>
        <v>Stationery</v>
      </c>
      <c r="P35" s="14">
        <f>_xlfn.XLOOKUP(D35,'PRODUCT CATALOGUE'!$A$2:$A$13,'PRODUCT CATALOGUE'!$E$2:$E$13)</f>
        <v>420</v>
      </c>
      <c r="Q35" s="8">
        <v>4450</v>
      </c>
      <c r="R35" s="14">
        <f t="shared" si="0"/>
        <v>4030</v>
      </c>
      <c r="S35" s="31">
        <f t="shared" si="1"/>
        <v>0.90561797752808992</v>
      </c>
      <c r="T35" s="14">
        <f t="shared" si="2"/>
        <v>445</v>
      </c>
      <c r="U35" s="14" t="str">
        <f t="shared" si="3"/>
        <v>good</v>
      </c>
    </row>
    <row r="36" spans="1:21" ht="15" customHeight="1" x14ac:dyDescent="0.25">
      <c r="A36" s="14" t="s">
        <v>178</v>
      </c>
      <c r="B36" s="25" t="s">
        <v>179</v>
      </c>
      <c r="C36" s="14" t="s">
        <v>93</v>
      </c>
      <c r="D36" s="14" t="s">
        <v>57</v>
      </c>
      <c r="E36" s="14" t="s">
        <v>84</v>
      </c>
      <c r="F36" s="14">
        <v>2</v>
      </c>
      <c r="G36" s="14">
        <v>4800</v>
      </c>
      <c r="H36" s="14">
        <v>9600</v>
      </c>
      <c r="I36" s="14" t="s">
        <v>118</v>
      </c>
      <c r="J36" s="14" t="str">
        <f>_xlfn.XLOOKUP(C36,'STAFF TABLE'!$A$2:$A$11,'STAFF TABLE'!$B$2:$B$11)</f>
        <v>Kefilwe Sithole</v>
      </c>
      <c r="K36" s="14" t="str">
        <f>_xlfn.XLOOKUP(C36,'STAFF TABLE'!$A$2:$A$11,'STAFF TABLE'!$C$2:$C$11)</f>
        <v>Sandton Branch</v>
      </c>
      <c r="L36" s="14" t="str">
        <f>_xlfn.XLOOKUP(C36,'STAFF TABLE'!$A$2:$A$11,'STAFF TABLE'!$D$2:$D$11)</f>
        <v>Gauteng</v>
      </c>
      <c r="M36" s="14">
        <f>_xlfn.XLOOKUP(C36,'STAFF TABLE'!$A$2:$A$11,'STAFF TABLE'!$E$2:$E$11)</f>
        <v>0.08</v>
      </c>
      <c r="N36" s="14" t="str">
        <f>_xlfn.XLOOKUP(D36,'PRODUCT CATALOGUE'!$A$2:$A$13,'PRODUCT CATALOGUE'!$B$2:$B$13)</f>
        <v>Monitor 27inch</v>
      </c>
      <c r="O36" s="14" t="str">
        <f>_xlfn.XLOOKUP(D36,'PRODUCT CATALOGUE'!$A$2:$A$13,'PRODUCT CATALOGUE'!$C$2:$C$13)</f>
        <v>Electronics</v>
      </c>
      <c r="P36" s="14">
        <f>_xlfn.XLOOKUP(D36,'PRODUCT CATALOGUE'!$A$2:$A$13,'PRODUCT CATALOGUE'!$E$2:$E$13)</f>
        <v>2900</v>
      </c>
      <c r="Q36" s="14">
        <v>9600</v>
      </c>
      <c r="R36" s="14">
        <f t="shared" si="0"/>
        <v>6700</v>
      </c>
      <c r="S36" s="31">
        <f t="shared" si="1"/>
        <v>0.69791666666666663</v>
      </c>
      <c r="T36" s="14">
        <f t="shared" si="2"/>
        <v>768</v>
      </c>
      <c r="U36" s="14" t="str">
        <f t="shared" si="3"/>
        <v>good</v>
      </c>
    </row>
    <row r="37" spans="1:21" ht="15" customHeight="1" x14ac:dyDescent="0.25">
      <c r="A37" s="8" t="s">
        <v>180</v>
      </c>
      <c r="B37" s="26" t="s">
        <v>179</v>
      </c>
      <c r="C37" s="8" t="s">
        <v>75</v>
      </c>
      <c r="D37" s="8" t="s">
        <v>49</v>
      </c>
      <c r="E37" s="8" t="s">
        <v>86</v>
      </c>
      <c r="F37" s="8">
        <v>12</v>
      </c>
      <c r="G37" s="8">
        <v>350</v>
      </c>
      <c r="H37" s="8">
        <v>4200</v>
      </c>
      <c r="I37" s="8" t="s">
        <v>118</v>
      </c>
      <c r="J37" s="14" t="str">
        <f>_xlfn.XLOOKUP(C37,'STAFF TABLE'!$A$2:$A$11,'STAFF TABLE'!$B$2:$B$11)</f>
        <v>Priya Pillay</v>
      </c>
      <c r="K37" s="14" t="str">
        <f>_xlfn.XLOOKUP(C37,'STAFF TABLE'!$A$2:$A$11,'STAFF TABLE'!$C$2:$C$11)</f>
        <v>Durban Branch</v>
      </c>
      <c r="L37" s="14" t="str">
        <f>_xlfn.XLOOKUP(C37,'STAFF TABLE'!$A$2:$A$11,'STAFF TABLE'!$D$2:$D$11)</f>
        <v>KZN</v>
      </c>
      <c r="M37" s="14">
        <f>_xlfn.XLOOKUP(C37,'STAFF TABLE'!$A$2:$A$11,'STAFF TABLE'!$E$2:$E$11)</f>
        <v>0.1</v>
      </c>
      <c r="N37" s="14" t="str">
        <f>_xlfn.XLOOKUP(D37,'PRODUCT CATALOGUE'!$A$2:$A$13,'PRODUCT CATALOGUE'!$B$2:$B$13)</f>
        <v>Notebook Bundle</v>
      </c>
      <c r="O37" s="14" t="str">
        <f>_xlfn.XLOOKUP(D37,'PRODUCT CATALOGUE'!$A$2:$A$13,'PRODUCT CATALOGUE'!$C$2:$C$13)</f>
        <v>Stationery</v>
      </c>
      <c r="P37" s="14">
        <f>_xlfn.XLOOKUP(D37,'PRODUCT CATALOGUE'!$A$2:$A$13,'PRODUCT CATALOGUE'!$E$2:$E$13)</f>
        <v>140</v>
      </c>
      <c r="Q37" s="8">
        <v>4200</v>
      </c>
      <c r="R37" s="14">
        <f t="shared" si="0"/>
        <v>4060</v>
      </c>
      <c r="S37" s="31">
        <f t="shared" si="1"/>
        <v>0.96666666666666667</v>
      </c>
      <c r="T37" s="14">
        <f t="shared" si="2"/>
        <v>420</v>
      </c>
      <c r="U37" s="14" t="str">
        <f t="shared" si="3"/>
        <v>good</v>
      </c>
    </row>
    <row r="38" spans="1:21" ht="15" customHeight="1" x14ac:dyDescent="0.25">
      <c r="A38" s="14" t="s">
        <v>181</v>
      </c>
      <c r="B38" s="25" t="s">
        <v>182</v>
      </c>
      <c r="C38" s="14" t="s">
        <v>95</v>
      </c>
      <c r="D38" s="14" t="s">
        <v>35</v>
      </c>
      <c r="E38" s="14" t="s">
        <v>88</v>
      </c>
      <c r="F38" s="14">
        <v>1</v>
      </c>
      <c r="G38" s="14">
        <v>15000</v>
      </c>
      <c r="H38" s="14">
        <v>15000</v>
      </c>
      <c r="I38" s="14" t="s">
        <v>118</v>
      </c>
      <c r="J38" s="14" t="str">
        <f>_xlfn.XLOOKUP(C38,'STAFF TABLE'!$A$2:$A$11,'STAFF TABLE'!$B$2:$B$11)</f>
        <v>David Moyo</v>
      </c>
      <c r="K38" s="14" t="str">
        <f>_xlfn.XLOOKUP(C38,'STAFF TABLE'!$A$2:$A$11,'STAFF TABLE'!$C$2:$C$11)</f>
        <v>Polokwane Branch</v>
      </c>
      <c r="L38" s="14" t="str">
        <f>_xlfn.XLOOKUP(C38,'STAFF TABLE'!$A$2:$A$11,'STAFF TABLE'!$D$2:$D$11)</f>
        <v>Limpopo</v>
      </c>
      <c r="M38" s="14">
        <f>_xlfn.XLOOKUP(C38,'STAFF TABLE'!$A$2:$A$11,'STAFF TABLE'!$E$2:$E$11)</f>
        <v>7.0000000000000007E-2</v>
      </c>
      <c r="N38" s="14" t="str">
        <f>_xlfn.XLOOKUP(D38,'PRODUCT CATALOGUE'!$A$2:$A$13,'PRODUCT CATALOGUE'!$B$2:$B$13)</f>
        <v>Gaming Laptop</v>
      </c>
      <c r="O38" s="14" t="str">
        <f>_xlfn.XLOOKUP(D38,'PRODUCT CATALOGUE'!$A$2:$A$13,'PRODUCT CATALOGUE'!$C$2:$C$13)</f>
        <v>Electronics</v>
      </c>
      <c r="P38" s="14">
        <f>_xlfn.XLOOKUP(D38,'PRODUCT CATALOGUE'!$A$2:$A$13,'PRODUCT CATALOGUE'!$E$2:$E$13)</f>
        <v>9800</v>
      </c>
      <c r="Q38" s="14">
        <v>15000</v>
      </c>
      <c r="R38" s="14">
        <f t="shared" si="0"/>
        <v>5200</v>
      </c>
      <c r="S38" s="31">
        <f t="shared" si="1"/>
        <v>0.34666666666666668</v>
      </c>
      <c r="T38" s="14">
        <f t="shared" si="2"/>
        <v>1050</v>
      </c>
      <c r="U38" s="14" t="str">
        <f t="shared" si="3"/>
        <v>good</v>
      </c>
    </row>
    <row r="39" spans="1:21" ht="15" customHeight="1" x14ac:dyDescent="0.25">
      <c r="A39" s="8" t="s">
        <v>183</v>
      </c>
      <c r="B39" s="26" t="s">
        <v>184</v>
      </c>
      <c r="C39" s="8" t="s">
        <v>91</v>
      </c>
      <c r="D39" s="8" t="s">
        <v>61</v>
      </c>
      <c r="E39" s="8" t="s">
        <v>92</v>
      </c>
      <c r="F39" s="8">
        <v>3</v>
      </c>
      <c r="G39" s="8">
        <v>2800</v>
      </c>
      <c r="H39" s="8">
        <v>8400</v>
      </c>
      <c r="I39" s="8" t="s">
        <v>118</v>
      </c>
      <c r="J39" s="14" t="str">
        <f>_xlfn.XLOOKUP(C39,'STAFF TABLE'!$A$2:$A$11,'STAFF TABLE'!$B$2:$B$11)</f>
        <v>Fatima Patel</v>
      </c>
      <c r="K39" s="14" t="str">
        <f>_xlfn.XLOOKUP(C39,'STAFF TABLE'!$A$2:$A$11,'STAFF TABLE'!$C$2:$C$11)</f>
        <v>Cape Town Branch</v>
      </c>
      <c r="L39" s="14" t="str">
        <f>_xlfn.XLOOKUP(C39,'STAFF TABLE'!$A$2:$A$11,'STAFF TABLE'!$D$2:$D$11)</f>
        <v>Western Cape</v>
      </c>
      <c r="M39" s="14">
        <f>_xlfn.XLOOKUP(C39,'STAFF TABLE'!$A$2:$A$11,'STAFF TABLE'!$E$2:$E$11)</f>
        <v>0.09</v>
      </c>
      <c r="N39" s="14" t="str">
        <f>_xlfn.XLOOKUP(D39,'PRODUCT CATALOGUE'!$A$2:$A$13,'PRODUCT CATALOGUE'!$B$2:$B$13)</f>
        <v>Filing Cabinet</v>
      </c>
      <c r="O39" s="14" t="str">
        <f>_xlfn.XLOOKUP(D39,'PRODUCT CATALOGUE'!$A$2:$A$13,'PRODUCT CATALOGUE'!$C$2:$C$13)</f>
        <v>Furniture</v>
      </c>
      <c r="P39" s="14">
        <f>_xlfn.XLOOKUP(D39,'PRODUCT CATALOGUE'!$A$2:$A$13,'PRODUCT CATALOGUE'!$E$2:$E$13)</f>
        <v>1600</v>
      </c>
      <c r="Q39" s="8">
        <v>8400</v>
      </c>
      <c r="R39" s="14">
        <f t="shared" si="0"/>
        <v>6800</v>
      </c>
      <c r="S39" s="31">
        <f t="shared" si="1"/>
        <v>0.80952380952380953</v>
      </c>
      <c r="T39" s="14">
        <f t="shared" si="2"/>
        <v>756</v>
      </c>
      <c r="U39" s="14" t="str">
        <f t="shared" si="3"/>
        <v>good</v>
      </c>
    </row>
    <row r="40" spans="1:21" ht="15" customHeight="1" x14ac:dyDescent="0.25">
      <c r="A40" s="14" t="s">
        <v>185</v>
      </c>
      <c r="B40" s="25" t="s">
        <v>186</v>
      </c>
      <c r="C40" s="14" t="s">
        <v>83</v>
      </c>
      <c r="D40" s="14" t="s">
        <v>47</v>
      </c>
      <c r="E40" s="14" t="s">
        <v>128</v>
      </c>
      <c r="F40" s="14">
        <v>4</v>
      </c>
      <c r="G40" s="14">
        <v>1200</v>
      </c>
      <c r="H40" s="14">
        <v>4800</v>
      </c>
      <c r="I40" s="14" t="s">
        <v>118</v>
      </c>
      <c r="J40" s="14" t="str">
        <f>_xlfn.XLOOKUP(C40,'STAFF TABLE'!$A$2:$A$11,'STAFF TABLE'!$B$2:$B$11)</f>
        <v>Riaan Botha</v>
      </c>
      <c r="K40" s="14" t="str">
        <f>_xlfn.XLOOKUP(C40,'STAFF TABLE'!$A$2:$A$11,'STAFF TABLE'!$C$2:$C$11)</f>
        <v>Sandton Branch</v>
      </c>
      <c r="L40" s="14" t="str">
        <f>_xlfn.XLOOKUP(C40,'STAFF TABLE'!$A$2:$A$11,'STAFF TABLE'!$D$2:$D$11)</f>
        <v>Gauteng</v>
      </c>
      <c r="M40" s="14">
        <f>_xlfn.XLOOKUP(C40,'STAFF TABLE'!$A$2:$A$11,'STAFF TABLE'!$E$2:$E$11)</f>
        <v>0.08</v>
      </c>
      <c r="N40" s="14" t="str">
        <f>_xlfn.XLOOKUP(D40,'PRODUCT CATALOGUE'!$A$2:$A$13,'PRODUCT CATALOGUE'!$B$2:$B$13)</f>
        <v>Webcam HD</v>
      </c>
      <c r="O40" s="14" t="str">
        <f>_xlfn.XLOOKUP(D40,'PRODUCT CATALOGUE'!$A$2:$A$13,'PRODUCT CATALOGUE'!$C$2:$C$13)</f>
        <v>Electronics</v>
      </c>
      <c r="P40" s="14">
        <f>_xlfn.XLOOKUP(D40,'PRODUCT CATALOGUE'!$A$2:$A$13,'PRODUCT CATALOGUE'!$E$2:$E$13)</f>
        <v>620</v>
      </c>
      <c r="Q40" s="14">
        <v>4800</v>
      </c>
      <c r="R40" s="14">
        <f t="shared" si="0"/>
        <v>4180</v>
      </c>
      <c r="S40" s="31">
        <f t="shared" si="1"/>
        <v>0.87083333333333335</v>
      </c>
      <c r="T40" s="14">
        <f t="shared" si="2"/>
        <v>384</v>
      </c>
      <c r="U40" s="14" t="str">
        <f t="shared" si="3"/>
        <v>good</v>
      </c>
    </row>
    <row r="41" spans="1:21" ht="15" customHeight="1" x14ac:dyDescent="0.25">
      <c r="A41" s="8" t="s">
        <v>187</v>
      </c>
      <c r="B41" s="26" t="s">
        <v>186</v>
      </c>
      <c r="C41" s="8" t="s">
        <v>97</v>
      </c>
      <c r="D41" s="8" t="s">
        <v>39</v>
      </c>
      <c r="E41" s="8" t="s">
        <v>131</v>
      </c>
      <c r="F41" s="8">
        <v>1</v>
      </c>
      <c r="G41" s="8">
        <v>3200</v>
      </c>
      <c r="H41" s="8">
        <v>3200</v>
      </c>
      <c r="I41" s="8" t="s">
        <v>153</v>
      </c>
      <c r="J41" s="14" t="str">
        <f>_xlfn.XLOOKUP(C41,'STAFF TABLE'!$A$2:$A$11,'STAFF TABLE'!$B$2:$B$11)</f>
        <v>Sipho Dlamini</v>
      </c>
      <c r="K41" s="14" t="str">
        <f>_xlfn.XLOOKUP(C41,'STAFF TABLE'!$A$2:$A$11,'STAFF TABLE'!$C$2:$C$11)</f>
        <v>Durban Branch</v>
      </c>
      <c r="L41" s="14" t="str">
        <f>_xlfn.XLOOKUP(C41,'STAFF TABLE'!$A$2:$A$11,'STAFF TABLE'!$D$2:$D$11)</f>
        <v>KZN</v>
      </c>
      <c r="M41" s="14">
        <f>_xlfn.XLOOKUP(C41,'STAFF TABLE'!$A$2:$A$11,'STAFF TABLE'!$E$2:$E$11)</f>
        <v>0.1</v>
      </c>
      <c r="N41" s="14" t="str">
        <f>_xlfn.XLOOKUP(D41,'PRODUCT CATALOGUE'!$A$2:$A$13,'PRODUCT CATALOGUE'!$B$2:$B$13)</f>
        <v>Office Chair</v>
      </c>
      <c r="O41" s="14" t="str">
        <f>_xlfn.XLOOKUP(D41,'PRODUCT CATALOGUE'!$A$2:$A$13,'PRODUCT CATALOGUE'!$C$2:$C$13)</f>
        <v>Furniture</v>
      </c>
      <c r="P41" s="14">
        <f>_xlfn.XLOOKUP(D41,'PRODUCT CATALOGUE'!$A$2:$A$13,'PRODUCT CATALOGUE'!$E$2:$E$13)</f>
        <v>1750</v>
      </c>
      <c r="Q41" s="8">
        <v>3200</v>
      </c>
      <c r="R41" s="14">
        <f t="shared" si="0"/>
        <v>1450</v>
      </c>
      <c r="S41" s="31">
        <f t="shared" si="1"/>
        <v>0.453125</v>
      </c>
      <c r="T41" s="14">
        <f t="shared" si="2"/>
        <v>320</v>
      </c>
      <c r="U41" s="14" t="str">
        <f t="shared" si="3"/>
        <v>good</v>
      </c>
    </row>
    <row r="42" spans="1:21" ht="15" customHeight="1" x14ac:dyDescent="0.25">
      <c r="A42" s="14" t="s">
        <v>188</v>
      </c>
      <c r="B42" s="25" t="s">
        <v>189</v>
      </c>
      <c r="C42" s="14" t="s">
        <v>79</v>
      </c>
      <c r="D42" s="14" t="s">
        <v>59</v>
      </c>
      <c r="E42" s="27" t="s">
        <v>300</v>
      </c>
      <c r="F42" s="14">
        <v>4</v>
      </c>
      <c r="G42" s="14">
        <v>650</v>
      </c>
      <c r="H42" s="14">
        <v>2600</v>
      </c>
      <c r="I42" s="14" t="s">
        <v>118</v>
      </c>
      <c r="J42" s="14" t="str">
        <f>_xlfn.XLOOKUP(C42,'STAFF TABLE'!$A$2:$A$11,'STAFF TABLE'!$B$2:$B$11)</f>
        <v>Zanele Dlamini</v>
      </c>
      <c r="K42" s="14" t="str">
        <f>_xlfn.XLOOKUP(C42,'STAFF TABLE'!$A$2:$A$11,'STAFF TABLE'!$C$2:$C$11)</f>
        <v>Cape Town Branch</v>
      </c>
      <c r="L42" s="14" t="str">
        <f>_xlfn.XLOOKUP(C42,'STAFF TABLE'!$A$2:$A$11,'STAFF TABLE'!$D$2:$D$11)</f>
        <v>Western Cape</v>
      </c>
      <c r="M42" s="14">
        <f>_xlfn.XLOOKUP(C42,'STAFF TABLE'!$A$2:$A$11,'STAFF TABLE'!$E$2:$E$11)</f>
        <v>0.09</v>
      </c>
      <c r="N42" s="14" t="str">
        <f>_xlfn.XLOOKUP(D42,'PRODUCT CATALOGUE'!$A$2:$A$13,'PRODUCT CATALOGUE'!$B$2:$B$13)</f>
        <v>Ergonomic Mouse</v>
      </c>
      <c r="O42" s="14" t="str">
        <f>_xlfn.XLOOKUP(D42,'PRODUCT CATALOGUE'!$A$2:$A$13,'PRODUCT CATALOGUE'!$C$2:$C$13)</f>
        <v>Electronics</v>
      </c>
      <c r="P42" s="14">
        <f>_xlfn.XLOOKUP(D42,'PRODUCT CATALOGUE'!$A$2:$A$13,'PRODUCT CATALOGUE'!$E$2:$E$13)</f>
        <v>310</v>
      </c>
      <c r="Q42" s="14">
        <v>2600</v>
      </c>
      <c r="R42" s="14">
        <f t="shared" si="0"/>
        <v>2290</v>
      </c>
      <c r="S42" s="31">
        <f t="shared" si="1"/>
        <v>0.88076923076923075</v>
      </c>
      <c r="T42" s="14">
        <f t="shared" si="2"/>
        <v>234</v>
      </c>
      <c r="U42" s="14" t="str">
        <f t="shared" si="3"/>
        <v>good</v>
      </c>
    </row>
    <row r="43" spans="1:21" ht="15" customHeight="1" x14ac:dyDescent="0.25">
      <c r="A43" s="8" t="s">
        <v>190</v>
      </c>
      <c r="B43" s="26" t="s">
        <v>191</v>
      </c>
      <c r="C43" s="8" t="s">
        <v>71</v>
      </c>
      <c r="D43" s="8" t="s">
        <v>53</v>
      </c>
      <c r="E43" s="8" t="s">
        <v>98</v>
      </c>
      <c r="F43" s="8">
        <v>3</v>
      </c>
      <c r="G43" s="8">
        <v>2100</v>
      </c>
      <c r="H43" s="8">
        <v>6300</v>
      </c>
      <c r="I43" s="8" t="s">
        <v>118</v>
      </c>
      <c r="J43" s="14" t="str">
        <f>_xlfn.XLOOKUP(C43,'STAFF TABLE'!$A$2:$A$11,'STAFF TABLE'!$B$2:$B$11)</f>
        <v>Thabo Nkosi</v>
      </c>
      <c r="K43" s="14" t="str">
        <f>_xlfn.XLOOKUP(C43,'STAFF TABLE'!$A$2:$A$11,'STAFF TABLE'!$C$2:$C$11)</f>
        <v>Sandton Branch</v>
      </c>
      <c r="L43" s="14" t="str">
        <f>_xlfn.XLOOKUP(C43,'STAFF TABLE'!$A$2:$A$11,'STAFF TABLE'!$D$2:$D$11)</f>
        <v>Gauteng</v>
      </c>
      <c r="M43" s="14">
        <f>_xlfn.XLOOKUP(C43,'STAFF TABLE'!$A$2:$A$11,'STAFF TABLE'!$E$2:$E$11)</f>
        <v>0.08</v>
      </c>
      <c r="N43" s="14" t="str">
        <f>_xlfn.XLOOKUP(D43,'PRODUCT CATALOGUE'!$A$2:$A$13,'PRODUCT CATALOGUE'!$B$2:$B$13)</f>
        <v>Mechanical Keyboard</v>
      </c>
      <c r="O43" s="14" t="str">
        <f>_xlfn.XLOOKUP(D43,'PRODUCT CATALOGUE'!$A$2:$A$13,'PRODUCT CATALOGUE'!$C$2:$C$13)</f>
        <v>Electronics</v>
      </c>
      <c r="P43" s="14">
        <f>_xlfn.XLOOKUP(D43,'PRODUCT CATALOGUE'!$A$2:$A$13,'PRODUCT CATALOGUE'!$E$2:$E$13)</f>
        <v>1100</v>
      </c>
      <c r="Q43" s="8">
        <v>6300</v>
      </c>
      <c r="R43" s="14">
        <f t="shared" si="0"/>
        <v>5200</v>
      </c>
      <c r="S43" s="31">
        <f t="shared" si="1"/>
        <v>0.82539682539682535</v>
      </c>
      <c r="T43" s="14">
        <f t="shared" si="2"/>
        <v>504</v>
      </c>
      <c r="U43" s="14" t="str">
        <f t="shared" si="3"/>
        <v>good</v>
      </c>
    </row>
    <row r="44" spans="1:21" ht="15" customHeight="1" x14ac:dyDescent="0.25">
      <c r="A44" s="14" t="s">
        <v>192</v>
      </c>
      <c r="B44" s="25" t="s">
        <v>193</v>
      </c>
      <c r="C44" s="14" t="s">
        <v>87</v>
      </c>
      <c r="D44" s="14" t="s">
        <v>63</v>
      </c>
      <c r="E44" s="14" t="s">
        <v>96</v>
      </c>
      <c r="F44" s="14">
        <v>30</v>
      </c>
      <c r="G44" s="14">
        <v>120</v>
      </c>
      <c r="H44" s="14">
        <v>3600</v>
      </c>
      <c r="I44" s="14" t="s">
        <v>118</v>
      </c>
      <c r="J44" s="14" t="str">
        <f>_xlfn.XLOOKUP(C44,'STAFF TABLE'!$A$2:$A$11,'STAFF TABLE'!$B$2:$B$11)</f>
        <v>Lebo Mahlangu</v>
      </c>
      <c r="K44" s="14" t="str">
        <f>_xlfn.XLOOKUP(C44,'STAFF TABLE'!$A$2:$A$11,'STAFF TABLE'!$C$2:$C$11)</f>
        <v>Polokwane Branch</v>
      </c>
      <c r="L44" s="14" t="str">
        <f>_xlfn.XLOOKUP(C44,'STAFF TABLE'!$A$2:$A$11,'STAFF TABLE'!$D$2:$D$11)</f>
        <v>Limpopo</v>
      </c>
      <c r="M44" s="14">
        <f>_xlfn.XLOOKUP(C44,'STAFF TABLE'!$A$2:$A$11,'STAFF TABLE'!$E$2:$E$11)</f>
        <v>7.0000000000000007E-2</v>
      </c>
      <c r="N44" s="14" t="str">
        <f>_xlfn.XLOOKUP(D44,'PRODUCT CATALOGUE'!$A$2:$A$13,'PRODUCT CATALOGUE'!$B$2:$B$13)</f>
        <v>Printer Paper Ream</v>
      </c>
      <c r="O44" s="14" t="str">
        <f>_xlfn.XLOOKUP(D44,'PRODUCT CATALOGUE'!$A$2:$A$13,'PRODUCT CATALOGUE'!$C$2:$C$13)</f>
        <v>Stationery</v>
      </c>
      <c r="P44" s="14">
        <f>_xlfn.XLOOKUP(D44,'PRODUCT CATALOGUE'!$A$2:$A$13,'PRODUCT CATALOGUE'!$E$2:$E$13)</f>
        <v>55</v>
      </c>
      <c r="Q44" s="14">
        <v>3600</v>
      </c>
      <c r="R44" s="14">
        <f t="shared" si="0"/>
        <v>3545</v>
      </c>
      <c r="S44" s="31">
        <f t="shared" si="1"/>
        <v>0.98472222222222228</v>
      </c>
      <c r="T44" s="14">
        <f t="shared" si="2"/>
        <v>252.00000000000003</v>
      </c>
      <c r="U44" s="14" t="str">
        <f t="shared" si="3"/>
        <v>good</v>
      </c>
    </row>
    <row r="45" spans="1:21" ht="15" customHeight="1" x14ac:dyDescent="0.25">
      <c r="A45" s="8" t="s">
        <v>194</v>
      </c>
      <c r="B45" s="26" t="s">
        <v>193</v>
      </c>
      <c r="C45" s="8" t="s">
        <v>85</v>
      </c>
      <c r="D45" s="8" t="s">
        <v>57</v>
      </c>
      <c r="E45" s="8" t="s">
        <v>76</v>
      </c>
      <c r="F45" s="8">
        <v>2</v>
      </c>
      <c r="G45" s="8">
        <v>4800</v>
      </c>
      <c r="H45" s="8">
        <v>9600</v>
      </c>
      <c r="I45" s="8" t="s">
        <v>118</v>
      </c>
      <c r="J45" s="14" t="str">
        <f>_xlfn.XLOOKUP(C45,'STAFF TABLE'!$A$2:$A$11,'STAFF TABLE'!$B$2:$B$11)</f>
        <v>Amahle Zulu</v>
      </c>
      <c r="K45" s="14" t="str">
        <f>_xlfn.XLOOKUP(C45,'STAFF TABLE'!$A$2:$A$11,'STAFF TABLE'!$C$2:$C$11)</f>
        <v>Durban Branch</v>
      </c>
      <c r="L45" s="14" t="str">
        <f>_xlfn.XLOOKUP(C45,'STAFF TABLE'!$A$2:$A$11,'STAFF TABLE'!$D$2:$D$11)</f>
        <v>KZN</v>
      </c>
      <c r="M45" s="14">
        <f>_xlfn.XLOOKUP(C45,'STAFF TABLE'!$A$2:$A$11,'STAFF TABLE'!$E$2:$E$11)</f>
        <v>0.1</v>
      </c>
      <c r="N45" s="14" t="str">
        <f>_xlfn.XLOOKUP(D45,'PRODUCT CATALOGUE'!$A$2:$A$13,'PRODUCT CATALOGUE'!$B$2:$B$13)</f>
        <v>Monitor 27inch</v>
      </c>
      <c r="O45" s="14" t="str">
        <f>_xlfn.XLOOKUP(D45,'PRODUCT CATALOGUE'!$A$2:$A$13,'PRODUCT CATALOGUE'!$C$2:$C$13)</f>
        <v>Electronics</v>
      </c>
      <c r="P45" s="14">
        <f>_xlfn.XLOOKUP(D45,'PRODUCT CATALOGUE'!$A$2:$A$13,'PRODUCT CATALOGUE'!$E$2:$E$13)</f>
        <v>2900</v>
      </c>
      <c r="Q45" s="8">
        <v>9600</v>
      </c>
      <c r="R45" s="14">
        <f t="shared" si="0"/>
        <v>6700</v>
      </c>
      <c r="S45" s="31">
        <f t="shared" si="1"/>
        <v>0.69791666666666663</v>
      </c>
      <c r="T45" s="14">
        <f t="shared" si="2"/>
        <v>960</v>
      </c>
      <c r="U45" s="14" t="str">
        <f t="shared" si="3"/>
        <v>good</v>
      </c>
    </row>
    <row r="46" spans="1:21" ht="15" customHeight="1" x14ac:dyDescent="0.25">
      <c r="A46" s="14" t="s">
        <v>195</v>
      </c>
      <c r="B46" s="25" t="s">
        <v>196</v>
      </c>
      <c r="C46" s="14" t="s">
        <v>93</v>
      </c>
      <c r="D46" s="14" t="s">
        <v>35</v>
      </c>
      <c r="E46" s="14" t="s">
        <v>140</v>
      </c>
      <c r="F46" s="14">
        <v>1</v>
      </c>
      <c r="G46" s="14">
        <v>15000</v>
      </c>
      <c r="H46" s="28">
        <v>14000</v>
      </c>
      <c r="I46" s="14" t="s">
        <v>118</v>
      </c>
      <c r="J46" s="14" t="str">
        <f>_xlfn.XLOOKUP(C46,'STAFF TABLE'!$A$2:$A$11,'STAFF TABLE'!$B$2:$B$11)</f>
        <v>Kefilwe Sithole</v>
      </c>
      <c r="K46" s="14" t="str">
        <f>_xlfn.XLOOKUP(C46,'STAFF TABLE'!$A$2:$A$11,'STAFF TABLE'!$C$2:$C$11)</f>
        <v>Sandton Branch</v>
      </c>
      <c r="L46" s="14" t="str">
        <f>_xlfn.XLOOKUP(C46,'STAFF TABLE'!$A$2:$A$11,'STAFF TABLE'!$D$2:$D$11)</f>
        <v>Gauteng</v>
      </c>
      <c r="M46" s="14">
        <f>_xlfn.XLOOKUP(C46,'STAFF TABLE'!$A$2:$A$11,'STAFF TABLE'!$E$2:$E$11)</f>
        <v>0.08</v>
      </c>
      <c r="N46" s="14" t="str">
        <f>_xlfn.XLOOKUP(D46,'PRODUCT CATALOGUE'!$A$2:$A$13,'PRODUCT CATALOGUE'!$B$2:$B$13)</f>
        <v>Gaming Laptop</v>
      </c>
      <c r="O46" s="14" t="str">
        <f>_xlfn.XLOOKUP(D46,'PRODUCT CATALOGUE'!$A$2:$A$13,'PRODUCT CATALOGUE'!$C$2:$C$13)</f>
        <v>Electronics</v>
      </c>
      <c r="P46" s="14">
        <f>_xlfn.XLOOKUP(D46,'PRODUCT CATALOGUE'!$A$2:$A$13,'PRODUCT CATALOGUE'!$E$2:$E$13)</f>
        <v>9800</v>
      </c>
      <c r="Q46" s="14">
        <v>15000</v>
      </c>
      <c r="R46" s="14">
        <f t="shared" si="0"/>
        <v>5200</v>
      </c>
      <c r="S46" s="31">
        <f t="shared" si="1"/>
        <v>0.34666666666666668</v>
      </c>
      <c r="T46" s="14">
        <f t="shared" si="2"/>
        <v>1200</v>
      </c>
      <c r="U46" s="14" t="str">
        <f t="shared" si="3"/>
        <v>good</v>
      </c>
    </row>
    <row r="47" spans="1:21" ht="15" customHeight="1" x14ac:dyDescent="0.25">
      <c r="A47" s="8" t="s">
        <v>197</v>
      </c>
      <c r="B47" s="26" t="s">
        <v>196</v>
      </c>
      <c r="C47" s="8" t="s">
        <v>198</v>
      </c>
      <c r="D47" s="8" t="s">
        <v>45</v>
      </c>
      <c r="E47" s="8" t="s">
        <v>84</v>
      </c>
      <c r="F47" s="8">
        <v>1</v>
      </c>
      <c r="G47" s="8">
        <v>5500</v>
      </c>
      <c r="H47" s="8">
        <v>5500</v>
      </c>
      <c r="I47" s="8" t="s">
        <v>118</v>
      </c>
      <c r="J47" s="14" t="str">
        <f>_xlfn.XLOOKUP(C47,'STAFF TABLE'!$A$2:$A$11,'STAFF TABLE'!$B$2:$B$11)</f>
        <v>Kefilwe Sithole</v>
      </c>
      <c r="K47" s="14" t="str">
        <f>_xlfn.XLOOKUP(C47,'STAFF TABLE'!$A$2:$A$11,'STAFF TABLE'!$C$2:$C$11)</f>
        <v>Sandton Branch</v>
      </c>
      <c r="L47" s="14" t="str">
        <f>_xlfn.XLOOKUP(C47,'STAFF TABLE'!$A$2:$A$11,'STAFF TABLE'!$D$2:$D$11)</f>
        <v>Gauteng</v>
      </c>
      <c r="M47" s="14">
        <f>_xlfn.XLOOKUP(C47,'STAFF TABLE'!$A$2:$A$11,'STAFF TABLE'!$E$2:$E$11)</f>
        <v>0.08</v>
      </c>
      <c r="N47" s="14" t="str">
        <f>_xlfn.XLOOKUP(D47,'PRODUCT CATALOGUE'!$A$2:$A$13,'PRODUCT CATALOGUE'!$B$2:$B$13)</f>
        <v>Standing Desk</v>
      </c>
      <c r="O47" s="14" t="str">
        <f>_xlfn.XLOOKUP(D47,'PRODUCT CATALOGUE'!$A$2:$A$13,'PRODUCT CATALOGUE'!$C$2:$C$13)</f>
        <v>Furniture</v>
      </c>
      <c r="P47" s="14">
        <f>_xlfn.XLOOKUP(D47,'PRODUCT CATALOGUE'!$A$2:$A$13,'PRODUCT CATALOGUE'!$E$2:$E$13)</f>
        <v>3100</v>
      </c>
      <c r="Q47" s="8">
        <v>5500</v>
      </c>
      <c r="R47" s="14">
        <f t="shared" si="0"/>
        <v>2400</v>
      </c>
      <c r="S47" s="31">
        <f t="shared" si="1"/>
        <v>0.43636363636363634</v>
      </c>
      <c r="T47" s="14">
        <f t="shared" si="2"/>
        <v>440</v>
      </c>
      <c r="U47" s="14" t="str">
        <f t="shared" si="3"/>
        <v>good</v>
      </c>
    </row>
    <row r="48" spans="1:21" ht="15" customHeight="1" x14ac:dyDescent="0.25">
      <c r="A48" s="14" t="s">
        <v>199</v>
      </c>
      <c r="B48" s="25" t="s">
        <v>200</v>
      </c>
      <c r="C48" s="14" t="s">
        <v>75</v>
      </c>
      <c r="D48" s="14" t="s">
        <v>43</v>
      </c>
      <c r="E48" s="14" t="s">
        <v>86</v>
      </c>
      <c r="F48" s="14">
        <v>2</v>
      </c>
      <c r="G48" s="14">
        <v>1800</v>
      </c>
      <c r="H48" s="14">
        <v>3600</v>
      </c>
      <c r="I48" s="14" t="s">
        <v>118</v>
      </c>
      <c r="J48" s="14" t="str">
        <f>_xlfn.XLOOKUP(C48,'STAFF TABLE'!$A$2:$A$11,'STAFF TABLE'!$B$2:$B$11)</f>
        <v>Priya Pillay</v>
      </c>
      <c r="K48" s="14" t="str">
        <f>_xlfn.XLOOKUP(C48,'STAFF TABLE'!$A$2:$A$11,'STAFF TABLE'!$C$2:$C$11)</f>
        <v>Durban Branch</v>
      </c>
      <c r="L48" s="14" t="str">
        <f>_xlfn.XLOOKUP(C48,'STAFF TABLE'!$A$2:$A$11,'STAFF TABLE'!$D$2:$D$11)</f>
        <v>KZN</v>
      </c>
      <c r="M48" s="14">
        <f>_xlfn.XLOOKUP(C48,'STAFF TABLE'!$A$2:$A$11,'STAFF TABLE'!$E$2:$E$11)</f>
        <v>0.1</v>
      </c>
      <c r="N48" s="14" t="str">
        <f>_xlfn.XLOOKUP(D48,'PRODUCT CATALOGUE'!$A$2:$A$13,'PRODUCT CATALOGUE'!$B$2:$B$13)</f>
        <v>Wireless Headset</v>
      </c>
      <c r="O48" s="14" t="str">
        <f>_xlfn.XLOOKUP(D48,'PRODUCT CATALOGUE'!$A$2:$A$13,'PRODUCT CATALOGUE'!$C$2:$C$13)</f>
        <v>Electronics</v>
      </c>
      <c r="P48" s="14">
        <f>_xlfn.XLOOKUP(D48,'PRODUCT CATALOGUE'!$A$2:$A$13,'PRODUCT CATALOGUE'!$E$2:$E$13)</f>
        <v>950</v>
      </c>
      <c r="Q48" s="14">
        <v>3600</v>
      </c>
      <c r="R48" s="14">
        <f t="shared" si="0"/>
        <v>2650</v>
      </c>
      <c r="S48" s="31">
        <f t="shared" si="1"/>
        <v>0.73611111111111116</v>
      </c>
      <c r="T48" s="14">
        <f t="shared" si="2"/>
        <v>360</v>
      </c>
      <c r="U48" s="14" t="str">
        <f t="shared" si="3"/>
        <v>good</v>
      </c>
    </row>
    <row r="49" spans="1:21" ht="15" customHeight="1" x14ac:dyDescent="0.25">
      <c r="A49" s="8" t="s">
        <v>201</v>
      </c>
      <c r="B49" s="26" t="s">
        <v>202</v>
      </c>
      <c r="C49" s="8" t="s">
        <v>95</v>
      </c>
      <c r="D49" s="8" t="s">
        <v>55</v>
      </c>
      <c r="E49" s="8" t="s">
        <v>88</v>
      </c>
      <c r="F49" s="8">
        <v>3</v>
      </c>
      <c r="G49" s="8">
        <v>890</v>
      </c>
      <c r="H49" s="8">
        <v>2670</v>
      </c>
      <c r="I49" s="8" t="s">
        <v>118</v>
      </c>
      <c r="J49" s="14" t="str">
        <f>_xlfn.XLOOKUP(C49,'STAFF TABLE'!$A$2:$A$11,'STAFF TABLE'!$B$2:$B$11)</f>
        <v>David Moyo</v>
      </c>
      <c r="K49" s="14" t="str">
        <f>_xlfn.XLOOKUP(C49,'STAFF TABLE'!$A$2:$A$11,'STAFF TABLE'!$C$2:$C$11)</f>
        <v>Polokwane Branch</v>
      </c>
      <c r="L49" s="14" t="str">
        <f>_xlfn.XLOOKUP(C49,'STAFF TABLE'!$A$2:$A$11,'STAFF TABLE'!$D$2:$D$11)</f>
        <v>Limpopo</v>
      </c>
      <c r="M49" s="14">
        <f>_xlfn.XLOOKUP(C49,'STAFF TABLE'!$A$2:$A$11,'STAFF TABLE'!$E$2:$E$11)</f>
        <v>7.0000000000000007E-2</v>
      </c>
      <c r="N49" s="14" t="str">
        <f>_xlfn.XLOOKUP(D49,'PRODUCT CATALOGUE'!$A$2:$A$13,'PRODUCT CATALOGUE'!$B$2:$B$13)</f>
        <v>Whiteboard</v>
      </c>
      <c r="O49" s="14" t="str">
        <f>_xlfn.XLOOKUP(D49,'PRODUCT CATALOGUE'!$A$2:$A$13,'PRODUCT CATALOGUE'!$C$2:$C$13)</f>
        <v>Stationery</v>
      </c>
      <c r="P49" s="14">
        <f>_xlfn.XLOOKUP(D49,'PRODUCT CATALOGUE'!$A$2:$A$13,'PRODUCT CATALOGUE'!$E$2:$E$13)</f>
        <v>420</v>
      </c>
      <c r="Q49" s="8">
        <v>2670</v>
      </c>
      <c r="R49" s="14">
        <f t="shared" si="0"/>
        <v>2250</v>
      </c>
      <c r="S49" s="31">
        <f t="shared" si="1"/>
        <v>0.84269662921348309</v>
      </c>
      <c r="T49" s="14">
        <f t="shared" si="2"/>
        <v>186.9</v>
      </c>
      <c r="U49" s="14" t="str">
        <f t="shared" si="3"/>
        <v>good</v>
      </c>
    </row>
    <row r="50" spans="1:21" ht="15" customHeight="1" x14ac:dyDescent="0.25">
      <c r="A50" s="14" t="s">
        <v>203</v>
      </c>
      <c r="B50" s="25" t="s">
        <v>204</v>
      </c>
      <c r="C50" s="14" t="s">
        <v>91</v>
      </c>
      <c r="D50" s="14" t="s">
        <v>49</v>
      </c>
      <c r="E50" s="14" t="s">
        <v>92</v>
      </c>
      <c r="F50" s="14">
        <v>8</v>
      </c>
      <c r="G50" s="14">
        <v>350</v>
      </c>
      <c r="H50" s="14">
        <v>2800</v>
      </c>
      <c r="I50" s="14" t="s">
        <v>118</v>
      </c>
      <c r="J50" s="14" t="str">
        <f>_xlfn.XLOOKUP(C50,'STAFF TABLE'!$A$2:$A$11,'STAFF TABLE'!$B$2:$B$11)</f>
        <v>Fatima Patel</v>
      </c>
      <c r="K50" s="14" t="str">
        <f>_xlfn.XLOOKUP(C50,'STAFF TABLE'!$A$2:$A$11,'STAFF TABLE'!$C$2:$C$11)</f>
        <v>Cape Town Branch</v>
      </c>
      <c r="L50" s="14" t="str">
        <f>_xlfn.XLOOKUP(C50,'STAFF TABLE'!$A$2:$A$11,'STAFF TABLE'!$D$2:$D$11)</f>
        <v>Western Cape</v>
      </c>
      <c r="M50" s="14">
        <f>_xlfn.XLOOKUP(C50,'STAFF TABLE'!$A$2:$A$11,'STAFF TABLE'!$E$2:$E$11)</f>
        <v>0.09</v>
      </c>
      <c r="N50" s="14" t="str">
        <f>_xlfn.XLOOKUP(D50,'PRODUCT CATALOGUE'!$A$2:$A$13,'PRODUCT CATALOGUE'!$B$2:$B$13)</f>
        <v>Notebook Bundle</v>
      </c>
      <c r="O50" s="14" t="str">
        <f>_xlfn.XLOOKUP(D50,'PRODUCT CATALOGUE'!$A$2:$A$13,'PRODUCT CATALOGUE'!$C$2:$C$13)</f>
        <v>Stationery</v>
      </c>
      <c r="P50" s="14">
        <f>_xlfn.XLOOKUP(D50,'PRODUCT CATALOGUE'!$A$2:$A$13,'PRODUCT CATALOGUE'!$E$2:$E$13)</f>
        <v>140</v>
      </c>
      <c r="Q50" s="14">
        <v>2800</v>
      </c>
      <c r="R50" s="14">
        <f t="shared" si="0"/>
        <v>2660</v>
      </c>
      <c r="S50" s="31">
        <f t="shared" si="1"/>
        <v>0.95</v>
      </c>
      <c r="T50" s="14">
        <f t="shared" si="2"/>
        <v>252</v>
      </c>
      <c r="U50" s="14" t="str">
        <f t="shared" si="3"/>
        <v>good</v>
      </c>
    </row>
    <row r="51" spans="1:21" ht="15" customHeight="1" x14ac:dyDescent="0.25">
      <c r="A51" s="8" t="s">
        <v>205</v>
      </c>
      <c r="B51" s="26" t="s">
        <v>206</v>
      </c>
      <c r="C51" s="8" t="s">
        <v>83</v>
      </c>
      <c r="D51" s="8" t="s">
        <v>57</v>
      </c>
      <c r="E51" s="8" t="s">
        <v>128</v>
      </c>
      <c r="F51" s="8">
        <v>3</v>
      </c>
      <c r="G51" s="8">
        <v>4800</v>
      </c>
      <c r="H51" s="28" t="s">
        <v>207</v>
      </c>
      <c r="I51" s="8" t="s">
        <v>118</v>
      </c>
      <c r="J51" s="14" t="str">
        <f>_xlfn.XLOOKUP(C51,'STAFF TABLE'!$A$2:$A$11,'STAFF TABLE'!$B$2:$B$11)</f>
        <v>Riaan Botha</v>
      </c>
      <c r="K51" s="14" t="str">
        <f>_xlfn.XLOOKUP(C51,'STAFF TABLE'!$A$2:$A$11,'STAFF TABLE'!$C$2:$C$11)</f>
        <v>Sandton Branch</v>
      </c>
      <c r="L51" s="14" t="str">
        <f>_xlfn.XLOOKUP(C51,'STAFF TABLE'!$A$2:$A$11,'STAFF TABLE'!$D$2:$D$11)</f>
        <v>Gauteng</v>
      </c>
      <c r="M51" s="14">
        <f>_xlfn.XLOOKUP(C51,'STAFF TABLE'!$A$2:$A$11,'STAFF TABLE'!$E$2:$E$11)</f>
        <v>0.08</v>
      </c>
      <c r="N51" s="14" t="str">
        <f>_xlfn.XLOOKUP(D51,'PRODUCT CATALOGUE'!$A$2:$A$13,'PRODUCT CATALOGUE'!$B$2:$B$13)</f>
        <v>Monitor 27inch</v>
      </c>
      <c r="O51" s="14" t="str">
        <f>_xlfn.XLOOKUP(D51,'PRODUCT CATALOGUE'!$A$2:$A$13,'PRODUCT CATALOGUE'!$C$2:$C$13)</f>
        <v>Electronics</v>
      </c>
      <c r="P51" s="14">
        <f>_xlfn.XLOOKUP(D51,'PRODUCT CATALOGUE'!$A$2:$A$13,'PRODUCT CATALOGUE'!$E$2:$E$13)</f>
        <v>2900</v>
      </c>
      <c r="Q51" s="8">
        <v>14400</v>
      </c>
      <c r="R51" s="14">
        <f t="shared" si="0"/>
        <v>11500</v>
      </c>
      <c r="S51" s="31">
        <f t="shared" si="1"/>
        <v>0.79861111111111116</v>
      </c>
      <c r="T51" s="14">
        <f t="shared" si="2"/>
        <v>1152</v>
      </c>
      <c r="U51" s="14" t="str">
        <f t="shared" si="3"/>
        <v>good</v>
      </c>
    </row>
    <row r="52" spans="1:21" ht="15" customHeight="1" x14ac:dyDescent="0.25">
      <c r="A52" s="14" t="s">
        <v>208</v>
      </c>
      <c r="B52" s="25" t="s">
        <v>209</v>
      </c>
      <c r="C52" s="14" t="s">
        <v>97</v>
      </c>
      <c r="D52" s="14" t="s">
        <v>61</v>
      </c>
      <c r="E52" s="14" t="s">
        <v>131</v>
      </c>
      <c r="F52" s="14">
        <v>2</v>
      </c>
      <c r="G52" s="14">
        <v>2800</v>
      </c>
      <c r="H52" s="14">
        <v>5600</v>
      </c>
      <c r="I52" s="14" t="s">
        <v>118</v>
      </c>
      <c r="J52" s="14" t="str">
        <f>_xlfn.XLOOKUP(C52,'STAFF TABLE'!$A$2:$A$11,'STAFF TABLE'!$B$2:$B$11)</f>
        <v>Sipho Dlamini</v>
      </c>
      <c r="K52" s="14" t="str">
        <f>_xlfn.XLOOKUP(C52,'STAFF TABLE'!$A$2:$A$11,'STAFF TABLE'!$C$2:$C$11)</f>
        <v>Durban Branch</v>
      </c>
      <c r="L52" s="14" t="str">
        <f>_xlfn.XLOOKUP(C52,'STAFF TABLE'!$A$2:$A$11,'STAFF TABLE'!$D$2:$D$11)</f>
        <v>KZN</v>
      </c>
      <c r="M52" s="14">
        <f>_xlfn.XLOOKUP(C52,'STAFF TABLE'!$A$2:$A$11,'STAFF TABLE'!$E$2:$E$11)</f>
        <v>0.1</v>
      </c>
      <c r="N52" s="14" t="str">
        <f>_xlfn.XLOOKUP(D52,'PRODUCT CATALOGUE'!$A$2:$A$13,'PRODUCT CATALOGUE'!$B$2:$B$13)</f>
        <v>Filing Cabinet</v>
      </c>
      <c r="O52" s="14" t="str">
        <f>_xlfn.XLOOKUP(D52,'PRODUCT CATALOGUE'!$A$2:$A$13,'PRODUCT CATALOGUE'!$C$2:$C$13)</f>
        <v>Furniture</v>
      </c>
      <c r="P52" s="14">
        <f>_xlfn.XLOOKUP(D52,'PRODUCT CATALOGUE'!$A$2:$A$13,'PRODUCT CATALOGUE'!$E$2:$E$13)</f>
        <v>1600</v>
      </c>
      <c r="Q52" s="14">
        <v>5600</v>
      </c>
      <c r="R52" s="14">
        <f t="shared" si="0"/>
        <v>4000</v>
      </c>
      <c r="S52" s="31">
        <f t="shared" si="1"/>
        <v>0.7142857142857143</v>
      </c>
      <c r="T52" s="14">
        <f t="shared" si="2"/>
        <v>560</v>
      </c>
      <c r="U52" s="14" t="str">
        <f t="shared" si="3"/>
        <v>good</v>
      </c>
    </row>
    <row r="53" spans="1:21" ht="15" customHeight="1" x14ac:dyDescent="0.25">
      <c r="A53" s="8" t="s">
        <v>210</v>
      </c>
      <c r="B53" s="26" t="s">
        <v>211</v>
      </c>
      <c r="C53" s="8" t="s">
        <v>79</v>
      </c>
      <c r="D53" s="8" t="s">
        <v>47</v>
      </c>
      <c r="E53" s="8" t="s">
        <v>94</v>
      </c>
      <c r="F53" s="29">
        <v>-2</v>
      </c>
      <c r="G53" s="8">
        <v>1200</v>
      </c>
      <c r="H53" s="28"/>
      <c r="I53" s="8" t="s">
        <v>302</v>
      </c>
      <c r="J53" s="14" t="str">
        <f>_xlfn.XLOOKUP(C53,'STAFF TABLE'!$A$2:$A$11,'STAFF TABLE'!$B$2:$B$11)</f>
        <v>Zanele Dlamini</v>
      </c>
      <c r="K53" s="14" t="str">
        <f>_xlfn.XLOOKUP(C53,'STAFF TABLE'!$A$2:$A$11,'STAFF TABLE'!$C$2:$C$11)</f>
        <v>Cape Town Branch</v>
      </c>
      <c r="L53" s="14" t="str">
        <f>_xlfn.XLOOKUP(C53,'STAFF TABLE'!$A$2:$A$11,'STAFF TABLE'!$D$2:$D$11)</f>
        <v>Western Cape</v>
      </c>
      <c r="M53" s="14">
        <f>_xlfn.XLOOKUP(C53,'STAFF TABLE'!$A$2:$A$11,'STAFF TABLE'!$E$2:$E$11)</f>
        <v>0.09</v>
      </c>
      <c r="N53" s="14" t="str">
        <f>_xlfn.XLOOKUP(D53,'PRODUCT CATALOGUE'!$A$2:$A$13,'PRODUCT CATALOGUE'!$B$2:$B$13)</f>
        <v>Webcam HD</v>
      </c>
      <c r="O53" s="14" t="str">
        <f>_xlfn.XLOOKUP(D53,'PRODUCT CATALOGUE'!$A$2:$A$13,'PRODUCT CATALOGUE'!$C$2:$C$13)</f>
        <v>Electronics</v>
      </c>
      <c r="P53" s="14">
        <f>_xlfn.XLOOKUP(D53,'PRODUCT CATALOGUE'!$A$2:$A$13,'PRODUCT CATALOGUE'!$E$2:$E$13)</f>
        <v>620</v>
      </c>
      <c r="Q53" s="8">
        <v>-2400</v>
      </c>
      <c r="R53" s="14">
        <f t="shared" si="0"/>
        <v>-3020</v>
      </c>
      <c r="S53" s="31">
        <f t="shared" si="1"/>
        <v>1.2583333333333333</v>
      </c>
      <c r="T53" s="14">
        <f t="shared" si="2"/>
        <v>-216</v>
      </c>
      <c r="U53" s="29" t="str">
        <f t="shared" si="3"/>
        <v>false</v>
      </c>
    </row>
    <row r="54" spans="1:21" ht="15" customHeight="1" x14ac:dyDescent="0.25">
      <c r="A54" s="14" t="s">
        <v>212</v>
      </c>
      <c r="B54" s="25" t="s">
        <v>213</v>
      </c>
      <c r="C54" s="14" t="s">
        <v>71</v>
      </c>
      <c r="D54" s="14" t="s">
        <v>53</v>
      </c>
      <c r="E54" s="14" t="s">
        <v>98</v>
      </c>
      <c r="F54" s="14">
        <v>4</v>
      </c>
      <c r="G54" s="14">
        <v>2100</v>
      </c>
      <c r="H54" s="14">
        <v>8400</v>
      </c>
      <c r="I54" s="14" t="s">
        <v>118</v>
      </c>
      <c r="J54" s="14" t="str">
        <f>_xlfn.XLOOKUP(C54,'STAFF TABLE'!$A$2:$A$11,'STAFF TABLE'!$B$2:$B$11)</f>
        <v>Thabo Nkosi</v>
      </c>
      <c r="K54" s="14" t="str">
        <f>_xlfn.XLOOKUP(C54,'STAFF TABLE'!$A$2:$A$11,'STAFF TABLE'!$C$2:$C$11)</f>
        <v>Sandton Branch</v>
      </c>
      <c r="L54" s="14" t="str">
        <f>_xlfn.XLOOKUP(C54,'STAFF TABLE'!$A$2:$A$11,'STAFF TABLE'!$D$2:$D$11)</f>
        <v>Gauteng</v>
      </c>
      <c r="M54" s="14">
        <f>_xlfn.XLOOKUP(C54,'STAFF TABLE'!$A$2:$A$11,'STAFF TABLE'!$E$2:$E$11)</f>
        <v>0.08</v>
      </c>
      <c r="N54" s="14" t="str">
        <f>_xlfn.XLOOKUP(D54,'PRODUCT CATALOGUE'!$A$2:$A$13,'PRODUCT CATALOGUE'!$B$2:$B$13)</f>
        <v>Mechanical Keyboard</v>
      </c>
      <c r="O54" s="14" t="str">
        <f>_xlfn.XLOOKUP(D54,'PRODUCT CATALOGUE'!$A$2:$A$13,'PRODUCT CATALOGUE'!$C$2:$C$13)</f>
        <v>Electronics</v>
      </c>
      <c r="P54" s="14">
        <f>_xlfn.XLOOKUP(D54,'PRODUCT CATALOGUE'!$A$2:$A$13,'PRODUCT CATALOGUE'!$E$2:$E$13)</f>
        <v>1100</v>
      </c>
      <c r="Q54" s="14">
        <v>8400</v>
      </c>
      <c r="R54" s="14">
        <f t="shared" si="0"/>
        <v>7300</v>
      </c>
      <c r="S54" s="31">
        <f t="shared" si="1"/>
        <v>0.86904761904761907</v>
      </c>
      <c r="T54" s="14">
        <f t="shared" si="2"/>
        <v>672</v>
      </c>
      <c r="U54" s="14" t="str">
        <f t="shared" si="3"/>
        <v>good</v>
      </c>
    </row>
    <row r="55" spans="1:21" ht="15" customHeight="1" x14ac:dyDescent="0.25">
      <c r="A55" s="8" t="s">
        <v>214</v>
      </c>
      <c r="B55" s="26" t="s">
        <v>213</v>
      </c>
      <c r="C55" s="8" t="s">
        <v>87</v>
      </c>
      <c r="D55" s="8" t="s">
        <v>39</v>
      </c>
      <c r="E55" s="8" t="s">
        <v>96</v>
      </c>
      <c r="F55" s="8">
        <v>1</v>
      </c>
      <c r="G55" s="8">
        <v>3200</v>
      </c>
      <c r="H55" s="8">
        <v>3200</v>
      </c>
      <c r="I55" s="8" t="s">
        <v>118</v>
      </c>
      <c r="J55" s="14" t="str">
        <f>_xlfn.XLOOKUP(C55,'STAFF TABLE'!$A$2:$A$11,'STAFF TABLE'!$B$2:$B$11)</f>
        <v>Lebo Mahlangu</v>
      </c>
      <c r="K55" s="14" t="str">
        <f>_xlfn.XLOOKUP(C55,'STAFF TABLE'!$A$2:$A$11,'STAFF TABLE'!$C$2:$C$11)</f>
        <v>Polokwane Branch</v>
      </c>
      <c r="L55" s="14" t="str">
        <f>_xlfn.XLOOKUP(C55,'STAFF TABLE'!$A$2:$A$11,'STAFF TABLE'!$D$2:$D$11)</f>
        <v>Limpopo</v>
      </c>
      <c r="M55" s="14">
        <f>_xlfn.XLOOKUP(C55,'STAFF TABLE'!$A$2:$A$11,'STAFF TABLE'!$E$2:$E$11)</f>
        <v>7.0000000000000007E-2</v>
      </c>
      <c r="N55" s="14" t="str">
        <f>_xlfn.XLOOKUP(D55,'PRODUCT CATALOGUE'!$A$2:$A$13,'PRODUCT CATALOGUE'!$B$2:$B$13)</f>
        <v>Office Chair</v>
      </c>
      <c r="O55" s="14" t="str">
        <f>_xlfn.XLOOKUP(D55,'PRODUCT CATALOGUE'!$A$2:$A$13,'PRODUCT CATALOGUE'!$C$2:$C$13)</f>
        <v>Furniture</v>
      </c>
      <c r="P55" s="14">
        <f>_xlfn.XLOOKUP(D55,'PRODUCT CATALOGUE'!$A$2:$A$13,'PRODUCT CATALOGUE'!$E$2:$E$13)</f>
        <v>1750</v>
      </c>
      <c r="Q55" s="8">
        <v>3200</v>
      </c>
      <c r="R55" s="14">
        <f t="shared" si="0"/>
        <v>1450</v>
      </c>
      <c r="S55" s="31">
        <f t="shared" si="1"/>
        <v>0.453125</v>
      </c>
      <c r="T55" s="14">
        <f t="shared" si="2"/>
        <v>224.00000000000003</v>
      </c>
      <c r="U55" s="14" t="str">
        <f t="shared" si="3"/>
        <v>good</v>
      </c>
    </row>
    <row r="56" spans="1:21" ht="15" customHeight="1" x14ac:dyDescent="0.25">
      <c r="A56" s="14" t="s">
        <v>215</v>
      </c>
      <c r="B56" s="25" t="s">
        <v>216</v>
      </c>
      <c r="C56" s="14" t="s">
        <v>85</v>
      </c>
      <c r="D56" s="14" t="s">
        <v>59</v>
      </c>
      <c r="E56" s="14" t="s">
        <v>76</v>
      </c>
      <c r="F56" s="14">
        <v>5</v>
      </c>
      <c r="G56" s="14">
        <v>650</v>
      </c>
      <c r="H56" s="14">
        <v>3250</v>
      </c>
      <c r="I56" s="14" t="s">
        <v>118</v>
      </c>
      <c r="J56" s="14" t="str">
        <f>_xlfn.XLOOKUP(C56,'STAFF TABLE'!$A$2:$A$11,'STAFF TABLE'!$B$2:$B$11)</f>
        <v>Amahle Zulu</v>
      </c>
      <c r="K56" s="14" t="str">
        <f>_xlfn.XLOOKUP(C56,'STAFF TABLE'!$A$2:$A$11,'STAFF TABLE'!$C$2:$C$11)</f>
        <v>Durban Branch</v>
      </c>
      <c r="L56" s="14" t="str">
        <f>_xlfn.XLOOKUP(C56,'STAFF TABLE'!$A$2:$A$11,'STAFF TABLE'!$D$2:$D$11)</f>
        <v>KZN</v>
      </c>
      <c r="M56" s="14">
        <f>_xlfn.XLOOKUP(C56,'STAFF TABLE'!$A$2:$A$11,'STAFF TABLE'!$E$2:$E$11)</f>
        <v>0.1</v>
      </c>
      <c r="N56" s="14" t="str">
        <f>_xlfn.XLOOKUP(D56,'PRODUCT CATALOGUE'!$A$2:$A$13,'PRODUCT CATALOGUE'!$B$2:$B$13)</f>
        <v>Ergonomic Mouse</v>
      </c>
      <c r="O56" s="14" t="str">
        <f>_xlfn.XLOOKUP(D56,'PRODUCT CATALOGUE'!$A$2:$A$13,'PRODUCT CATALOGUE'!$C$2:$C$13)</f>
        <v>Electronics</v>
      </c>
      <c r="P56" s="14">
        <f>_xlfn.XLOOKUP(D56,'PRODUCT CATALOGUE'!$A$2:$A$13,'PRODUCT CATALOGUE'!$E$2:$E$13)</f>
        <v>310</v>
      </c>
      <c r="Q56" s="14">
        <v>3250</v>
      </c>
      <c r="R56" s="14">
        <f t="shared" si="0"/>
        <v>2940</v>
      </c>
      <c r="S56" s="31">
        <f t="shared" si="1"/>
        <v>0.9046153846153846</v>
      </c>
      <c r="T56" s="14">
        <f t="shared" si="2"/>
        <v>325</v>
      </c>
      <c r="U56" s="14" t="str">
        <f t="shared" si="3"/>
        <v>good</v>
      </c>
    </row>
    <row r="57" spans="1:21" ht="15" customHeight="1" x14ac:dyDescent="0.25">
      <c r="A57" s="8" t="s">
        <v>217</v>
      </c>
      <c r="B57" s="26" t="s">
        <v>218</v>
      </c>
      <c r="C57" s="8" t="s">
        <v>93</v>
      </c>
      <c r="D57" s="8" t="s">
        <v>63</v>
      </c>
      <c r="E57" s="8" t="s">
        <v>140</v>
      </c>
      <c r="F57" s="8">
        <v>20</v>
      </c>
      <c r="G57" s="8">
        <v>120</v>
      </c>
      <c r="H57" s="8">
        <v>2400</v>
      </c>
      <c r="I57" s="8" t="s">
        <v>118</v>
      </c>
      <c r="J57" s="14" t="str">
        <f>_xlfn.XLOOKUP(C57,'STAFF TABLE'!$A$2:$A$11,'STAFF TABLE'!$B$2:$B$11)</f>
        <v>Kefilwe Sithole</v>
      </c>
      <c r="K57" s="14" t="str">
        <f>_xlfn.XLOOKUP(C57,'STAFF TABLE'!$A$2:$A$11,'STAFF TABLE'!$C$2:$C$11)</f>
        <v>Sandton Branch</v>
      </c>
      <c r="L57" s="14" t="str">
        <f>_xlfn.XLOOKUP(C57,'STAFF TABLE'!$A$2:$A$11,'STAFF TABLE'!$D$2:$D$11)</f>
        <v>Gauteng</v>
      </c>
      <c r="M57" s="14">
        <f>_xlfn.XLOOKUP(C57,'STAFF TABLE'!$A$2:$A$11,'STAFF TABLE'!$E$2:$E$11)</f>
        <v>0.08</v>
      </c>
      <c r="N57" s="14" t="str">
        <f>_xlfn.XLOOKUP(D57,'PRODUCT CATALOGUE'!$A$2:$A$13,'PRODUCT CATALOGUE'!$B$2:$B$13)</f>
        <v>Printer Paper Ream</v>
      </c>
      <c r="O57" s="14" t="str">
        <f>_xlfn.XLOOKUP(D57,'PRODUCT CATALOGUE'!$A$2:$A$13,'PRODUCT CATALOGUE'!$C$2:$C$13)</f>
        <v>Stationery</v>
      </c>
      <c r="P57" s="14">
        <f>_xlfn.XLOOKUP(D57,'PRODUCT CATALOGUE'!$A$2:$A$13,'PRODUCT CATALOGUE'!$E$2:$E$13)</f>
        <v>55</v>
      </c>
      <c r="Q57" s="8">
        <v>2400</v>
      </c>
      <c r="R57" s="14">
        <f t="shared" si="0"/>
        <v>2345</v>
      </c>
      <c r="S57" s="31">
        <f t="shared" si="1"/>
        <v>0.9770833333333333</v>
      </c>
      <c r="T57" s="14">
        <f t="shared" si="2"/>
        <v>192</v>
      </c>
      <c r="U57" s="14" t="str">
        <f t="shared" si="3"/>
        <v>good</v>
      </c>
    </row>
    <row r="58" spans="1:21" ht="15" customHeight="1" x14ac:dyDescent="0.25">
      <c r="A58" s="14" t="s">
        <v>219</v>
      </c>
      <c r="B58" s="25" t="s">
        <v>220</v>
      </c>
      <c r="C58" s="14" t="s">
        <v>75</v>
      </c>
      <c r="D58" s="14" t="s">
        <v>35</v>
      </c>
      <c r="E58" s="14" t="s">
        <v>84</v>
      </c>
      <c r="F58" s="14">
        <v>1</v>
      </c>
      <c r="G58" s="14">
        <v>15000</v>
      </c>
      <c r="H58" s="14">
        <v>15000</v>
      </c>
      <c r="I58" s="14" t="s">
        <v>118</v>
      </c>
      <c r="J58" s="14" t="str">
        <f>_xlfn.XLOOKUP(C58,'STAFF TABLE'!$A$2:$A$11,'STAFF TABLE'!$B$2:$B$11)</f>
        <v>Priya Pillay</v>
      </c>
      <c r="K58" s="14" t="str">
        <f>_xlfn.XLOOKUP(C58,'STAFF TABLE'!$A$2:$A$11,'STAFF TABLE'!$C$2:$C$11)</f>
        <v>Durban Branch</v>
      </c>
      <c r="L58" s="14" t="str">
        <f>_xlfn.XLOOKUP(C58,'STAFF TABLE'!$A$2:$A$11,'STAFF TABLE'!$D$2:$D$11)</f>
        <v>KZN</v>
      </c>
      <c r="M58" s="14">
        <f>_xlfn.XLOOKUP(C58,'STAFF TABLE'!$A$2:$A$11,'STAFF TABLE'!$E$2:$E$11)</f>
        <v>0.1</v>
      </c>
      <c r="N58" s="14" t="str">
        <f>_xlfn.XLOOKUP(D58,'PRODUCT CATALOGUE'!$A$2:$A$13,'PRODUCT CATALOGUE'!$B$2:$B$13)</f>
        <v>Gaming Laptop</v>
      </c>
      <c r="O58" s="14" t="str">
        <f>_xlfn.XLOOKUP(D58,'PRODUCT CATALOGUE'!$A$2:$A$13,'PRODUCT CATALOGUE'!$C$2:$C$13)</f>
        <v>Electronics</v>
      </c>
      <c r="P58" s="14">
        <f>_xlfn.XLOOKUP(D58,'PRODUCT CATALOGUE'!$A$2:$A$13,'PRODUCT CATALOGUE'!$E$2:$E$13)</f>
        <v>9800</v>
      </c>
      <c r="Q58" s="14">
        <v>15000</v>
      </c>
      <c r="R58" s="14">
        <f t="shared" si="0"/>
        <v>5200</v>
      </c>
      <c r="S58" s="31">
        <f t="shared" si="1"/>
        <v>0.34666666666666668</v>
      </c>
      <c r="T58" s="14">
        <f t="shared" si="2"/>
        <v>1500</v>
      </c>
      <c r="U58" s="14" t="str">
        <f t="shared" si="3"/>
        <v>good</v>
      </c>
    </row>
    <row r="59" spans="1:21" ht="15" customHeight="1" x14ac:dyDescent="0.25">
      <c r="A59" s="8" t="s">
        <v>221</v>
      </c>
      <c r="B59" s="26" t="s">
        <v>222</v>
      </c>
      <c r="C59" s="8" t="s">
        <v>95</v>
      </c>
      <c r="D59" s="8" t="s">
        <v>45</v>
      </c>
      <c r="E59" s="8" t="s">
        <v>86</v>
      </c>
      <c r="F59" s="8">
        <v>1</v>
      </c>
      <c r="G59" s="8">
        <v>5500</v>
      </c>
      <c r="H59" s="8">
        <v>5500</v>
      </c>
      <c r="I59" s="8" t="s">
        <v>118</v>
      </c>
      <c r="J59" s="14" t="str">
        <f>_xlfn.XLOOKUP(C59,'STAFF TABLE'!$A$2:$A$11,'STAFF TABLE'!$B$2:$B$11)</f>
        <v>David Moyo</v>
      </c>
      <c r="K59" s="14" t="str">
        <f>_xlfn.XLOOKUP(C59,'STAFF TABLE'!$A$2:$A$11,'STAFF TABLE'!$C$2:$C$11)</f>
        <v>Polokwane Branch</v>
      </c>
      <c r="L59" s="14" t="str">
        <f>_xlfn.XLOOKUP(C59,'STAFF TABLE'!$A$2:$A$11,'STAFF TABLE'!$D$2:$D$11)</f>
        <v>Limpopo</v>
      </c>
      <c r="M59" s="14">
        <f>_xlfn.XLOOKUP(C59,'STAFF TABLE'!$A$2:$A$11,'STAFF TABLE'!$E$2:$E$11)</f>
        <v>7.0000000000000007E-2</v>
      </c>
      <c r="N59" s="14" t="str">
        <f>_xlfn.XLOOKUP(D59,'PRODUCT CATALOGUE'!$A$2:$A$13,'PRODUCT CATALOGUE'!$B$2:$B$13)</f>
        <v>Standing Desk</v>
      </c>
      <c r="O59" s="14" t="str">
        <f>_xlfn.XLOOKUP(D59,'PRODUCT CATALOGUE'!$A$2:$A$13,'PRODUCT CATALOGUE'!$C$2:$C$13)</f>
        <v>Furniture</v>
      </c>
      <c r="P59" s="14">
        <f>_xlfn.XLOOKUP(D59,'PRODUCT CATALOGUE'!$A$2:$A$13,'PRODUCT CATALOGUE'!$E$2:$E$13)</f>
        <v>3100</v>
      </c>
      <c r="Q59" s="8">
        <v>5500</v>
      </c>
      <c r="R59" s="14">
        <f t="shared" si="0"/>
        <v>2400</v>
      </c>
      <c r="S59" s="31">
        <f t="shared" si="1"/>
        <v>0.43636363636363634</v>
      </c>
      <c r="T59" s="14">
        <f t="shared" si="2"/>
        <v>385.00000000000006</v>
      </c>
      <c r="U59" s="14" t="str">
        <f t="shared" si="3"/>
        <v>good</v>
      </c>
    </row>
    <row r="60" spans="1:21" ht="15" customHeight="1" x14ac:dyDescent="0.25">
      <c r="A60" s="14" t="s">
        <v>223</v>
      </c>
      <c r="B60" s="25" t="s">
        <v>224</v>
      </c>
      <c r="C60" s="14" t="s">
        <v>91</v>
      </c>
      <c r="D60" s="14" t="s">
        <v>55</v>
      </c>
      <c r="E60" s="14" t="s">
        <v>88</v>
      </c>
      <c r="F60" s="14">
        <v>4</v>
      </c>
      <c r="G60" s="14">
        <v>890</v>
      </c>
      <c r="H60" s="14">
        <v>3560</v>
      </c>
      <c r="I60" s="14" t="s">
        <v>118</v>
      </c>
      <c r="J60" s="14" t="str">
        <f>_xlfn.XLOOKUP(C60,'STAFF TABLE'!$A$2:$A$11,'STAFF TABLE'!$B$2:$B$11)</f>
        <v>Fatima Patel</v>
      </c>
      <c r="K60" s="14" t="str">
        <f>_xlfn.XLOOKUP(C60,'STAFF TABLE'!$A$2:$A$11,'STAFF TABLE'!$C$2:$C$11)</f>
        <v>Cape Town Branch</v>
      </c>
      <c r="L60" s="14" t="str">
        <f>_xlfn.XLOOKUP(C60,'STAFF TABLE'!$A$2:$A$11,'STAFF TABLE'!$D$2:$D$11)</f>
        <v>Western Cape</v>
      </c>
      <c r="M60" s="14">
        <f>_xlfn.XLOOKUP(C60,'STAFF TABLE'!$A$2:$A$11,'STAFF TABLE'!$E$2:$E$11)</f>
        <v>0.09</v>
      </c>
      <c r="N60" s="14" t="str">
        <f>_xlfn.XLOOKUP(D60,'PRODUCT CATALOGUE'!$A$2:$A$13,'PRODUCT CATALOGUE'!$B$2:$B$13)</f>
        <v>Whiteboard</v>
      </c>
      <c r="O60" s="14" t="str">
        <f>_xlfn.XLOOKUP(D60,'PRODUCT CATALOGUE'!$A$2:$A$13,'PRODUCT CATALOGUE'!$C$2:$C$13)</f>
        <v>Stationery</v>
      </c>
      <c r="P60" s="14">
        <f>_xlfn.XLOOKUP(D60,'PRODUCT CATALOGUE'!$A$2:$A$13,'PRODUCT CATALOGUE'!$E$2:$E$13)</f>
        <v>420</v>
      </c>
      <c r="Q60" s="14">
        <v>3560</v>
      </c>
      <c r="R60" s="14">
        <f t="shared" si="0"/>
        <v>3140</v>
      </c>
      <c r="S60" s="31">
        <f t="shared" si="1"/>
        <v>0.8820224719101124</v>
      </c>
      <c r="T60" s="14">
        <f t="shared" si="2"/>
        <v>320.39999999999998</v>
      </c>
      <c r="U60" s="14" t="str">
        <f t="shared" si="3"/>
        <v>good</v>
      </c>
    </row>
    <row r="61" spans="1:21" ht="15" customHeight="1" x14ac:dyDescent="0.25">
      <c r="A61" s="8" t="s">
        <v>225</v>
      </c>
      <c r="B61" s="26" t="s">
        <v>226</v>
      </c>
      <c r="C61" s="8" t="s">
        <v>97</v>
      </c>
      <c r="D61" s="8" t="s">
        <v>43</v>
      </c>
      <c r="E61" s="8" t="s">
        <v>92</v>
      </c>
      <c r="F61" s="8">
        <v>3</v>
      </c>
      <c r="G61" s="8">
        <v>1800</v>
      </c>
      <c r="H61" s="8">
        <v>5400</v>
      </c>
      <c r="I61" s="8" t="s">
        <v>118</v>
      </c>
      <c r="J61" s="14" t="str">
        <f>_xlfn.XLOOKUP(C61,'STAFF TABLE'!$A$2:$A$11,'STAFF TABLE'!$B$2:$B$11)</f>
        <v>Sipho Dlamini</v>
      </c>
      <c r="K61" s="14" t="str">
        <f>_xlfn.XLOOKUP(C61,'STAFF TABLE'!$A$2:$A$11,'STAFF TABLE'!$C$2:$C$11)</f>
        <v>Durban Branch</v>
      </c>
      <c r="L61" s="14" t="str">
        <f>_xlfn.XLOOKUP(C61,'STAFF TABLE'!$A$2:$A$11,'STAFF TABLE'!$D$2:$D$11)</f>
        <v>KZN</v>
      </c>
      <c r="M61" s="14">
        <f>_xlfn.XLOOKUP(C61,'STAFF TABLE'!$A$2:$A$11,'STAFF TABLE'!$E$2:$E$11)</f>
        <v>0.1</v>
      </c>
      <c r="N61" s="14" t="str">
        <f>_xlfn.XLOOKUP(D61,'PRODUCT CATALOGUE'!$A$2:$A$13,'PRODUCT CATALOGUE'!$B$2:$B$13)</f>
        <v>Wireless Headset</v>
      </c>
      <c r="O61" s="14" t="str">
        <f>_xlfn.XLOOKUP(D61,'PRODUCT CATALOGUE'!$A$2:$A$13,'PRODUCT CATALOGUE'!$C$2:$C$13)</f>
        <v>Electronics</v>
      </c>
      <c r="P61" s="14">
        <f>_xlfn.XLOOKUP(D61,'PRODUCT CATALOGUE'!$A$2:$A$13,'PRODUCT CATALOGUE'!$E$2:$E$13)</f>
        <v>950</v>
      </c>
      <c r="Q61" s="30">
        <v>5400</v>
      </c>
      <c r="R61" s="14">
        <f t="shared" si="0"/>
        <v>4450</v>
      </c>
      <c r="S61" s="31">
        <f t="shared" si="1"/>
        <v>0.82407407407407407</v>
      </c>
      <c r="T61" s="14">
        <f t="shared" si="2"/>
        <v>540</v>
      </c>
      <c r="U61" s="14" t="str">
        <f t="shared" si="3"/>
        <v>good</v>
      </c>
    </row>
    <row r="62" spans="1:21" ht="15" customHeight="1" x14ac:dyDescent="0.25">
      <c r="A62" s="14" t="s">
        <v>227</v>
      </c>
      <c r="B62" s="25" t="s">
        <v>228</v>
      </c>
      <c r="C62" s="14" t="s">
        <v>71</v>
      </c>
      <c r="D62" s="14" t="s">
        <v>35</v>
      </c>
      <c r="E62" s="14" t="s">
        <v>128</v>
      </c>
      <c r="F62" s="14">
        <v>1</v>
      </c>
      <c r="G62" s="14">
        <v>15000</v>
      </c>
      <c r="H62" s="14">
        <v>15000</v>
      </c>
      <c r="I62" s="14" t="s">
        <v>118</v>
      </c>
      <c r="J62" s="14" t="str">
        <f>_xlfn.XLOOKUP(C62,'STAFF TABLE'!$A$2:$A$11,'STAFF TABLE'!$B$2:$B$11)</f>
        <v>Thabo Nkosi</v>
      </c>
      <c r="K62" s="14" t="str">
        <f>_xlfn.XLOOKUP(C62,'STAFF TABLE'!$A$2:$A$11,'STAFF TABLE'!$C$2:$C$11)</f>
        <v>Sandton Branch</v>
      </c>
      <c r="L62" s="14" t="str">
        <f>_xlfn.XLOOKUP(C62,'STAFF TABLE'!$A$2:$A$11,'STAFF TABLE'!$D$2:$D$11)</f>
        <v>Gauteng</v>
      </c>
      <c r="M62" s="14">
        <f>_xlfn.XLOOKUP(C62,'STAFF TABLE'!$A$2:$A$11,'STAFF TABLE'!$E$2:$E$11)</f>
        <v>0.08</v>
      </c>
      <c r="N62" s="14" t="str">
        <f>_xlfn.XLOOKUP(D62,'PRODUCT CATALOGUE'!$A$2:$A$13,'PRODUCT CATALOGUE'!$B$2:$B$13)</f>
        <v>Gaming Laptop</v>
      </c>
      <c r="O62" s="14" t="str">
        <f>_xlfn.XLOOKUP(D62,'PRODUCT CATALOGUE'!$A$2:$A$13,'PRODUCT CATALOGUE'!$C$2:$C$13)</f>
        <v>Electronics</v>
      </c>
      <c r="P62" s="14">
        <f>_xlfn.XLOOKUP(D62,'PRODUCT CATALOGUE'!$A$2:$A$13,'PRODUCT CATALOGUE'!$E$2:$E$13)</f>
        <v>9800</v>
      </c>
      <c r="Q62" s="30">
        <v>15000</v>
      </c>
      <c r="R62" s="14">
        <f t="shared" si="0"/>
        <v>5200</v>
      </c>
      <c r="S62" s="31">
        <f t="shared" si="1"/>
        <v>0.34666666666666668</v>
      </c>
      <c r="T62" s="14">
        <f t="shared" si="2"/>
        <v>1200</v>
      </c>
      <c r="U62" s="14" t="str">
        <f t="shared" si="3"/>
        <v>good</v>
      </c>
    </row>
    <row r="63" spans="1:21" ht="15" customHeight="1" x14ac:dyDescent="0.25">
      <c r="A63" s="8" t="s">
        <v>229</v>
      </c>
      <c r="B63" s="26" t="s">
        <v>230</v>
      </c>
      <c r="C63" s="8" t="s">
        <v>85</v>
      </c>
      <c r="D63" s="8" t="s">
        <v>57</v>
      </c>
      <c r="E63" s="8" t="s">
        <v>131</v>
      </c>
      <c r="F63" s="8">
        <v>2</v>
      </c>
      <c r="G63" s="8">
        <v>4800</v>
      </c>
      <c r="H63" s="8">
        <v>9600</v>
      </c>
      <c r="I63" s="8" t="s">
        <v>118</v>
      </c>
      <c r="J63" s="14" t="str">
        <f>_xlfn.XLOOKUP(C63,'STAFF TABLE'!$A$2:$A$11,'STAFF TABLE'!$B$2:$B$11)</f>
        <v>Amahle Zulu</v>
      </c>
      <c r="K63" s="14" t="str">
        <f>_xlfn.XLOOKUP(C63,'STAFF TABLE'!$A$2:$A$11,'STAFF TABLE'!$C$2:$C$11)</f>
        <v>Durban Branch</v>
      </c>
      <c r="L63" s="14" t="str">
        <f>_xlfn.XLOOKUP(C63,'STAFF TABLE'!$A$2:$A$11,'STAFF TABLE'!$D$2:$D$11)</f>
        <v>KZN</v>
      </c>
      <c r="M63" s="14">
        <f>_xlfn.XLOOKUP(C63,'STAFF TABLE'!$A$2:$A$11,'STAFF TABLE'!$E$2:$E$11)</f>
        <v>0.1</v>
      </c>
      <c r="N63" s="14" t="str">
        <f>_xlfn.XLOOKUP(D63,'PRODUCT CATALOGUE'!$A$2:$A$13,'PRODUCT CATALOGUE'!$B$2:$B$13)</f>
        <v>Monitor 27inch</v>
      </c>
      <c r="O63" s="14" t="str">
        <f>_xlfn.XLOOKUP(D63,'PRODUCT CATALOGUE'!$A$2:$A$13,'PRODUCT CATALOGUE'!$C$2:$C$13)</f>
        <v>Electronics</v>
      </c>
      <c r="P63" s="14">
        <f>_xlfn.XLOOKUP(D63,'PRODUCT CATALOGUE'!$A$2:$A$13,'PRODUCT CATALOGUE'!$E$2:$E$13)</f>
        <v>2900</v>
      </c>
      <c r="Q63" s="30">
        <v>9600</v>
      </c>
      <c r="R63" s="14">
        <f t="shared" si="0"/>
        <v>6700</v>
      </c>
      <c r="S63" s="31">
        <f t="shared" si="1"/>
        <v>0.69791666666666663</v>
      </c>
      <c r="T63" s="14">
        <f t="shared" si="2"/>
        <v>960</v>
      </c>
      <c r="U63" s="14" t="str">
        <f t="shared" si="3"/>
        <v>good</v>
      </c>
    </row>
    <row r="64" spans="1:21" ht="15" customHeight="1" x14ac:dyDescent="0.25">
      <c r="A64" s="14" t="s">
        <v>231</v>
      </c>
      <c r="B64" s="25" t="s">
        <v>232</v>
      </c>
      <c r="C64" s="14" t="s">
        <v>79</v>
      </c>
      <c r="D64" s="14" t="s">
        <v>53</v>
      </c>
      <c r="E64" s="27" t="s">
        <v>300</v>
      </c>
      <c r="F64" s="14">
        <v>3</v>
      </c>
      <c r="G64" s="14">
        <v>2100</v>
      </c>
      <c r="H64" s="14">
        <v>6300</v>
      </c>
      <c r="I64" s="14" t="s">
        <v>118</v>
      </c>
      <c r="J64" s="14" t="str">
        <f>_xlfn.XLOOKUP(C64,'STAFF TABLE'!$A$2:$A$11,'STAFF TABLE'!$B$2:$B$11)</f>
        <v>Zanele Dlamini</v>
      </c>
      <c r="K64" s="14" t="str">
        <f>_xlfn.XLOOKUP(C64,'STAFF TABLE'!$A$2:$A$11,'STAFF TABLE'!$C$2:$C$11)</f>
        <v>Cape Town Branch</v>
      </c>
      <c r="L64" s="14" t="str">
        <f>_xlfn.XLOOKUP(C64,'STAFF TABLE'!$A$2:$A$11,'STAFF TABLE'!$D$2:$D$11)</f>
        <v>Western Cape</v>
      </c>
      <c r="M64" s="14">
        <f>_xlfn.XLOOKUP(C64,'STAFF TABLE'!$A$2:$A$11,'STAFF TABLE'!$E$2:$E$11)</f>
        <v>0.09</v>
      </c>
      <c r="N64" s="14" t="str">
        <f>_xlfn.XLOOKUP(D64,'PRODUCT CATALOGUE'!$A$2:$A$13,'PRODUCT CATALOGUE'!$B$2:$B$13)</f>
        <v>Mechanical Keyboard</v>
      </c>
      <c r="O64" s="14" t="str">
        <f>_xlfn.XLOOKUP(D64,'PRODUCT CATALOGUE'!$A$2:$A$13,'PRODUCT CATALOGUE'!$C$2:$C$13)</f>
        <v>Electronics</v>
      </c>
      <c r="P64" s="14">
        <f>_xlfn.XLOOKUP(D64,'PRODUCT CATALOGUE'!$A$2:$A$13,'PRODUCT CATALOGUE'!$E$2:$E$13)</f>
        <v>1100</v>
      </c>
      <c r="Q64" s="30">
        <v>6300</v>
      </c>
      <c r="R64" s="14">
        <f t="shared" si="0"/>
        <v>5200</v>
      </c>
      <c r="S64" s="31">
        <f t="shared" si="1"/>
        <v>0.82539682539682535</v>
      </c>
      <c r="T64" s="14">
        <f t="shared" si="2"/>
        <v>567</v>
      </c>
      <c r="U64" s="14" t="str">
        <f t="shared" si="3"/>
        <v>good</v>
      </c>
    </row>
    <row r="65" spans="1:21" ht="15" customHeight="1" x14ac:dyDescent="0.25">
      <c r="A65" s="8" t="s">
        <v>233</v>
      </c>
      <c r="B65" s="26" t="s">
        <v>232</v>
      </c>
      <c r="C65" s="8" t="s">
        <v>93</v>
      </c>
      <c r="D65" s="8" t="s">
        <v>45</v>
      </c>
      <c r="E65" s="8" t="s">
        <v>98</v>
      </c>
      <c r="F65" s="8">
        <v>1</v>
      </c>
      <c r="G65" s="8">
        <v>5500</v>
      </c>
      <c r="H65" s="8">
        <v>5500</v>
      </c>
      <c r="I65" s="8" t="s">
        <v>118</v>
      </c>
      <c r="J65" s="14" t="str">
        <f>_xlfn.XLOOKUP(C65,'STAFF TABLE'!$A$2:$A$11,'STAFF TABLE'!$B$2:$B$11)</f>
        <v>Kefilwe Sithole</v>
      </c>
      <c r="K65" s="14" t="str">
        <f>_xlfn.XLOOKUP(C65,'STAFF TABLE'!$A$2:$A$11,'STAFF TABLE'!$C$2:$C$11)</f>
        <v>Sandton Branch</v>
      </c>
      <c r="L65" s="14" t="str">
        <f>_xlfn.XLOOKUP(C65,'STAFF TABLE'!$A$2:$A$11,'STAFF TABLE'!$D$2:$D$11)</f>
        <v>Gauteng</v>
      </c>
      <c r="M65" s="14">
        <f>_xlfn.XLOOKUP(C65,'STAFF TABLE'!$A$2:$A$11,'STAFF TABLE'!$E$2:$E$11)</f>
        <v>0.08</v>
      </c>
      <c r="N65" s="14" t="str">
        <f>_xlfn.XLOOKUP(D65,'PRODUCT CATALOGUE'!$A$2:$A$13,'PRODUCT CATALOGUE'!$B$2:$B$13)</f>
        <v>Standing Desk</v>
      </c>
      <c r="O65" s="14" t="str">
        <f>_xlfn.XLOOKUP(D65,'PRODUCT CATALOGUE'!$A$2:$A$13,'PRODUCT CATALOGUE'!$C$2:$C$13)</f>
        <v>Furniture</v>
      </c>
      <c r="P65" s="14">
        <f>_xlfn.XLOOKUP(D65,'PRODUCT CATALOGUE'!$A$2:$A$13,'PRODUCT CATALOGUE'!$E$2:$E$13)</f>
        <v>3100</v>
      </c>
      <c r="Q65" s="30">
        <v>5500</v>
      </c>
      <c r="R65" s="14">
        <f t="shared" si="0"/>
        <v>2400</v>
      </c>
      <c r="S65" s="31">
        <f t="shared" si="1"/>
        <v>0.43636363636363634</v>
      </c>
      <c r="T65" s="14">
        <f t="shared" si="2"/>
        <v>440</v>
      </c>
      <c r="U65" s="14" t="str">
        <f t="shared" si="3"/>
        <v>good</v>
      </c>
    </row>
    <row r="66" spans="1:21" ht="15" customHeight="1" x14ac:dyDescent="0.25">
      <c r="A66" s="14" t="s">
        <v>234</v>
      </c>
      <c r="B66" s="25" t="s">
        <v>235</v>
      </c>
      <c r="C66" s="14" t="s">
        <v>75</v>
      </c>
      <c r="D66" s="14" t="s">
        <v>49</v>
      </c>
      <c r="E66" s="14" t="s">
        <v>96</v>
      </c>
      <c r="F66" s="14">
        <v>15</v>
      </c>
      <c r="G66" s="14">
        <v>350</v>
      </c>
      <c r="H66" s="14">
        <v>5250</v>
      </c>
      <c r="I66" s="14" t="s">
        <v>118</v>
      </c>
      <c r="J66" s="14" t="str">
        <f>_xlfn.XLOOKUP(C66,'STAFF TABLE'!$A$2:$A$11,'STAFF TABLE'!$B$2:$B$11)</f>
        <v>Priya Pillay</v>
      </c>
      <c r="K66" s="14" t="str">
        <f>_xlfn.XLOOKUP(C66,'STAFF TABLE'!$A$2:$A$11,'STAFF TABLE'!$C$2:$C$11)</f>
        <v>Durban Branch</v>
      </c>
      <c r="L66" s="14" t="str">
        <f>_xlfn.XLOOKUP(C66,'STAFF TABLE'!$A$2:$A$11,'STAFF TABLE'!$D$2:$D$11)</f>
        <v>KZN</v>
      </c>
      <c r="M66" s="14">
        <f>_xlfn.XLOOKUP(C66,'STAFF TABLE'!$A$2:$A$11,'STAFF TABLE'!$E$2:$E$11)</f>
        <v>0.1</v>
      </c>
      <c r="N66" s="14" t="str">
        <f>_xlfn.XLOOKUP(D66,'PRODUCT CATALOGUE'!$A$2:$A$13,'PRODUCT CATALOGUE'!$B$2:$B$13)</f>
        <v>Notebook Bundle</v>
      </c>
      <c r="O66" s="14" t="str">
        <f>_xlfn.XLOOKUP(D66,'PRODUCT CATALOGUE'!$A$2:$A$13,'PRODUCT CATALOGUE'!$C$2:$C$13)</f>
        <v>Stationery</v>
      </c>
      <c r="P66" s="14">
        <f>_xlfn.XLOOKUP(D66,'PRODUCT CATALOGUE'!$A$2:$A$13,'PRODUCT CATALOGUE'!$E$2:$E$13)</f>
        <v>140</v>
      </c>
      <c r="Q66" s="30">
        <v>5250</v>
      </c>
      <c r="R66" s="14">
        <f t="shared" si="0"/>
        <v>5110</v>
      </c>
      <c r="S66" s="31">
        <f t="shared" si="1"/>
        <v>0.97333333333333338</v>
      </c>
      <c r="T66" s="14">
        <f t="shared" si="2"/>
        <v>525</v>
      </c>
      <c r="U66" s="14" t="str">
        <f t="shared" si="3"/>
        <v>good</v>
      </c>
    </row>
    <row r="67" spans="1:21" ht="15" customHeight="1" x14ac:dyDescent="0.25">
      <c r="A67" s="8" t="s">
        <v>236</v>
      </c>
      <c r="B67" s="26" t="s">
        <v>235</v>
      </c>
      <c r="C67" s="8" t="s">
        <v>87</v>
      </c>
      <c r="D67" s="8" t="s">
        <v>39</v>
      </c>
      <c r="E67" s="8" t="s">
        <v>94</v>
      </c>
      <c r="F67" s="8">
        <v>2</v>
      </c>
      <c r="G67" s="8">
        <v>3200</v>
      </c>
      <c r="H67" s="8">
        <v>6400</v>
      </c>
      <c r="I67" s="8" t="s">
        <v>153</v>
      </c>
      <c r="J67" s="14" t="str">
        <f>_xlfn.XLOOKUP(C67,'STAFF TABLE'!$A$2:$A$11,'STAFF TABLE'!$B$2:$B$11)</f>
        <v>Lebo Mahlangu</v>
      </c>
      <c r="K67" s="14" t="str">
        <f>_xlfn.XLOOKUP(C67,'STAFF TABLE'!$A$2:$A$11,'STAFF TABLE'!$C$2:$C$11)</f>
        <v>Polokwane Branch</v>
      </c>
      <c r="L67" s="14" t="str">
        <f>_xlfn.XLOOKUP(C67,'STAFF TABLE'!$A$2:$A$11,'STAFF TABLE'!$D$2:$D$11)</f>
        <v>Limpopo</v>
      </c>
      <c r="M67" s="14">
        <f>_xlfn.XLOOKUP(C67,'STAFF TABLE'!$A$2:$A$11,'STAFF TABLE'!$E$2:$E$11)</f>
        <v>7.0000000000000007E-2</v>
      </c>
      <c r="N67" s="14" t="str">
        <f>_xlfn.XLOOKUP(D67,'PRODUCT CATALOGUE'!$A$2:$A$13,'PRODUCT CATALOGUE'!$B$2:$B$13)</f>
        <v>Office Chair</v>
      </c>
      <c r="O67" s="14" t="str">
        <f>_xlfn.XLOOKUP(D67,'PRODUCT CATALOGUE'!$A$2:$A$13,'PRODUCT CATALOGUE'!$C$2:$C$13)</f>
        <v>Furniture</v>
      </c>
      <c r="P67" s="14">
        <f>_xlfn.XLOOKUP(D67,'PRODUCT CATALOGUE'!$A$2:$A$13,'PRODUCT CATALOGUE'!$E$2:$E$13)</f>
        <v>1750</v>
      </c>
      <c r="Q67" s="30">
        <v>6400</v>
      </c>
      <c r="R67" s="14">
        <f t="shared" ref="R67:R81" si="4">Q67-P67</f>
        <v>4650</v>
      </c>
      <c r="S67" s="31">
        <f t="shared" ref="S67:S81" si="5">R67/Q67</f>
        <v>0.7265625</v>
      </c>
      <c r="T67" s="14">
        <f t="shared" ref="T67:T81" si="6">M67*Q67</f>
        <v>448.00000000000006</v>
      </c>
      <c r="U67" s="14" t="str">
        <f t="shared" ref="U67:U81" si="7">IF(S67&gt;100%,"false","good")</f>
        <v>good</v>
      </c>
    </row>
    <row r="68" spans="1:21" ht="15" customHeight="1" x14ac:dyDescent="0.25">
      <c r="A68" s="14" t="s">
        <v>237</v>
      </c>
      <c r="B68" s="25" t="s">
        <v>238</v>
      </c>
      <c r="C68" s="14" t="s">
        <v>95</v>
      </c>
      <c r="D68" s="14" t="s">
        <v>59</v>
      </c>
      <c r="E68" s="14" t="s">
        <v>76</v>
      </c>
      <c r="F68" s="14">
        <v>4</v>
      </c>
      <c r="G68" s="14">
        <v>650</v>
      </c>
      <c r="H68" s="14">
        <v>2600</v>
      </c>
      <c r="I68" s="14" t="s">
        <v>118</v>
      </c>
      <c r="J68" s="14" t="str">
        <f>_xlfn.XLOOKUP(C68,'STAFF TABLE'!$A$2:$A$11,'STAFF TABLE'!$B$2:$B$11)</f>
        <v>David Moyo</v>
      </c>
      <c r="K68" s="14" t="str">
        <f>_xlfn.XLOOKUP(C68,'STAFF TABLE'!$A$2:$A$11,'STAFF TABLE'!$C$2:$C$11)</f>
        <v>Polokwane Branch</v>
      </c>
      <c r="L68" s="14" t="str">
        <f>_xlfn.XLOOKUP(C68,'STAFF TABLE'!$A$2:$A$11,'STAFF TABLE'!$D$2:$D$11)</f>
        <v>Limpopo</v>
      </c>
      <c r="M68" s="14">
        <f>_xlfn.XLOOKUP(C68,'STAFF TABLE'!$A$2:$A$11,'STAFF TABLE'!$E$2:$E$11)</f>
        <v>7.0000000000000007E-2</v>
      </c>
      <c r="N68" s="14" t="str">
        <f>_xlfn.XLOOKUP(D68,'PRODUCT CATALOGUE'!$A$2:$A$13,'PRODUCT CATALOGUE'!$B$2:$B$13)</f>
        <v>Ergonomic Mouse</v>
      </c>
      <c r="O68" s="14" t="str">
        <f>_xlfn.XLOOKUP(D68,'PRODUCT CATALOGUE'!$A$2:$A$13,'PRODUCT CATALOGUE'!$C$2:$C$13)</f>
        <v>Electronics</v>
      </c>
      <c r="P68" s="14">
        <f>_xlfn.XLOOKUP(D68,'PRODUCT CATALOGUE'!$A$2:$A$13,'PRODUCT CATALOGUE'!$E$2:$E$13)</f>
        <v>310</v>
      </c>
      <c r="Q68" s="30">
        <v>2600</v>
      </c>
      <c r="R68" s="14">
        <f t="shared" si="4"/>
        <v>2290</v>
      </c>
      <c r="S68" s="31">
        <f t="shared" si="5"/>
        <v>0.88076923076923075</v>
      </c>
      <c r="T68" s="14">
        <f t="shared" si="6"/>
        <v>182.00000000000003</v>
      </c>
      <c r="U68" s="14" t="str">
        <f t="shared" si="7"/>
        <v>good</v>
      </c>
    </row>
    <row r="69" spans="1:21" ht="15" customHeight="1" x14ac:dyDescent="0.25">
      <c r="A69" s="8" t="s">
        <v>239</v>
      </c>
      <c r="B69" s="26" t="s">
        <v>240</v>
      </c>
      <c r="C69" s="8" t="s">
        <v>91</v>
      </c>
      <c r="D69" s="8" t="s">
        <v>43</v>
      </c>
      <c r="E69" s="8" t="s">
        <v>140</v>
      </c>
      <c r="F69" s="8">
        <v>2</v>
      </c>
      <c r="G69" s="8">
        <v>1800</v>
      </c>
      <c r="H69" s="8">
        <v>3600</v>
      </c>
      <c r="I69" s="8" t="s">
        <v>118</v>
      </c>
      <c r="J69" s="14" t="str">
        <f>_xlfn.XLOOKUP(C69,'STAFF TABLE'!$A$2:$A$11,'STAFF TABLE'!$B$2:$B$11)</f>
        <v>Fatima Patel</v>
      </c>
      <c r="K69" s="14" t="str">
        <f>_xlfn.XLOOKUP(C69,'STAFF TABLE'!$A$2:$A$11,'STAFF TABLE'!$C$2:$C$11)</f>
        <v>Cape Town Branch</v>
      </c>
      <c r="L69" s="14" t="str">
        <f>_xlfn.XLOOKUP(C69,'STAFF TABLE'!$A$2:$A$11,'STAFF TABLE'!$D$2:$D$11)</f>
        <v>Western Cape</v>
      </c>
      <c r="M69" s="14">
        <f>_xlfn.XLOOKUP(C69,'STAFF TABLE'!$A$2:$A$11,'STAFF TABLE'!$E$2:$E$11)</f>
        <v>0.09</v>
      </c>
      <c r="N69" s="14" t="str">
        <f>_xlfn.XLOOKUP(D69,'PRODUCT CATALOGUE'!$A$2:$A$13,'PRODUCT CATALOGUE'!$B$2:$B$13)</f>
        <v>Wireless Headset</v>
      </c>
      <c r="O69" s="14" t="str">
        <f>_xlfn.XLOOKUP(D69,'PRODUCT CATALOGUE'!$A$2:$A$13,'PRODUCT CATALOGUE'!$C$2:$C$13)</f>
        <v>Electronics</v>
      </c>
      <c r="P69" s="14">
        <f>_xlfn.XLOOKUP(D69,'PRODUCT CATALOGUE'!$A$2:$A$13,'PRODUCT CATALOGUE'!$E$2:$E$13)</f>
        <v>950</v>
      </c>
      <c r="Q69" s="30">
        <v>3600</v>
      </c>
      <c r="R69" s="14">
        <f t="shared" si="4"/>
        <v>2650</v>
      </c>
      <c r="S69" s="31">
        <f t="shared" si="5"/>
        <v>0.73611111111111116</v>
      </c>
      <c r="T69" s="14">
        <f t="shared" si="6"/>
        <v>324</v>
      </c>
      <c r="U69" s="14" t="str">
        <f t="shared" si="7"/>
        <v>good</v>
      </c>
    </row>
    <row r="70" spans="1:21" ht="15" customHeight="1" x14ac:dyDescent="0.25">
      <c r="A70" s="14" t="s">
        <v>241</v>
      </c>
      <c r="B70" s="25" t="s">
        <v>240</v>
      </c>
      <c r="C70" s="14" t="s">
        <v>83</v>
      </c>
      <c r="D70" s="14" t="s">
        <v>63</v>
      </c>
      <c r="E70" s="14" t="s">
        <v>84</v>
      </c>
      <c r="F70" s="14">
        <v>20</v>
      </c>
      <c r="G70" s="14">
        <v>120</v>
      </c>
      <c r="H70" s="14">
        <v>2400</v>
      </c>
      <c r="I70" s="14" t="s">
        <v>118</v>
      </c>
      <c r="J70" s="14" t="str">
        <f>_xlfn.XLOOKUP(C70,'STAFF TABLE'!$A$2:$A$11,'STAFF TABLE'!$B$2:$B$11)</f>
        <v>Riaan Botha</v>
      </c>
      <c r="K70" s="14" t="str">
        <f>_xlfn.XLOOKUP(C70,'STAFF TABLE'!$A$2:$A$11,'STAFF TABLE'!$C$2:$C$11)</f>
        <v>Sandton Branch</v>
      </c>
      <c r="L70" s="14" t="str">
        <f>_xlfn.XLOOKUP(C70,'STAFF TABLE'!$A$2:$A$11,'STAFF TABLE'!$D$2:$D$11)</f>
        <v>Gauteng</v>
      </c>
      <c r="M70" s="14">
        <f>_xlfn.XLOOKUP(C70,'STAFF TABLE'!$A$2:$A$11,'STAFF TABLE'!$E$2:$E$11)</f>
        <v>0.08</v>
      </c>
      <c r="N70" s="14" t="str">
        <f>_xlfn.XLOOKUP(D70,'PRODUCT CATALOGUE'!$A$2:$A$13,'PRODUCT CATALOGUE'!$B$2:$B$13)</f>
        <v>Printer Paper Ream</v>
      </c>
      <c r="O70" s="14" t="str">
        <f>_xlfn.XLOOKUP(D70,'PRODUCT CATALOGUE'!$A$2:$A$13,'PRODUCT CATALOGUE'!$C$2:$C$13)</f>
        <v>Stationery</v>
      </c>
      <c r="P70" s="14">
        <f>_xlfn.XLOOKUP(D70,'PRODUCT CATALOGUE'!$A$2:$A$13,'PRODUCT CATALOGUE'!$E$2:$E$13)</f>
        <v>55</v>
      </c>
      <c r="Q70" s="30">
        <v>2400</v>
      </c>
      <c r="R70" s="14">
        <f t="shared" si="4"/>
        <v>2345</v>
      </c>
      <c r="S70" s="31">
        <f t="shared" si="5"/>
        <v>0.9770833333333333</v>
      </c>
      <c r="T70" s="14">
        <f t="shared" si="6"/>
        <v>192</v>
      </c>
      <c r="U70" s="14" t="str">
        <f t="shared" si="7"/>
        <v>good</v>
      </c>
    </row>
    <row r="71" spans="1:21" ht="15" customHeight="1" x14ac:dyDescent="0.25">
      <c r="A71" s="8" t="s">
        <v>242</v>
      </c>
      <c r="B71" s="26" t="s">
        <v>243</v>
      </c>
      <c r="C71" s="8" t="s">
        <v>97</v>
      </c>
      <c r="D71" s="8" t="s">
        <v>61</v>
      </c>
      <c r="E71" s="8" t="s">
        <v>86</v>
      </c>
      <c r="F71" s="8">
        <v>1</v>
      </c>
      <c r="G71" s="8">
        <v>2800</v>
      </c>
      <c r="H71" s="8">
        <v>2800</v>
      </c>
      <c r="I71" s="8" t="s">
        <v>118</v>
      </c>
      <c r="J71" s="14" t="str">
        <f>_xlfn.XLOOKUP(C71,'STAFF TABLE'!$A$2:$A$11,'STAFF TABLE'!$B$2:$B$11)</f>
        <v>Sipho Dlamini</v>
      </c>
      <c r="K71" s="14" t="str">
        <f>_xlfn.XLOOKUP(C71,'STAFF TABLE'!$A$2:$A$11,'STAFF TABLE'!$C$2:$C$11)</f>
        <v>Durban Branch</v>
      </c>
      <c r="L71" s="14" t="str">
        <f>_xlfn.XLOOKUP(C71,'STAFF TABLE'!$A$2:$A$11,'STAFF TABLE'!$D$2:$D$11)</f>
        <v>KZN</v>
      </c>
      <c r="M71" s="14">
        <f>_xlfn.XLOOKUP(C71,'STAFF TABLE'!$A$2:$A$11,'STAFF TABLE'!$E$2:$E$11)</f>
        <v>0.1</v>
      </c>
      <c r="N71" s="14" t="str">
        <f>_xlfn.XLOOKUP(D71,'PRODUCT CATALOGUE'!$A$2:$A$13,'PRODUCT CATALOGUE'!$B$2:$B$13)</f>
        <v>Filing Cabinet</v>
      </c>
      <c r="O71" s="14" t="str">
        <f>_xlfn.XLOOKUP(D71,'PRODUCT CATALOGUE'!$A$2:$A$13,'PRODUCT CATALOGUE'!$C$2:$C$13)</f>
        <v>Furniture</v>
      </c>
      <c r="P71" s="14">
        <f>_xlfn.XLOOKUP(D71,'PRODUCT CATALOGUE'!$A$2:$A$13,'PRODUCT CATALOGUE'!$E$2:$E$13)</f>
        <v>1600</v>
      </c>
      <c r="Q71" s="30">
        <v>2800</v>
      </c>
      <c r="R71" s="14">
        <f t="shared" si="4"/>
        <v>1200</v>
      </c>
      <c r="S71" s="31">
        <f t="shared" si="5"/>
        <v>0.42857142857142855</v>
      </c>
      <c r="T71" s="14">
        <f t="shared" si="6"/>
        <v>280</v>
      </c>
      <c r="U71" s="14" t="str">
        <f t="shared" si="7"/>
        <v>good</v>
      </c>
    </row>
    <row r="72" spans="1:21" ht="15" customHeight="1" x14ac:dyDescent="0.25">
      <c r="A72" s="14" t="s">
        <v>244</v>
      </c>
      <c r="B72" s="25" t="s">
        <v>245</v>
      </c>
      <c r="C72" s="14" t="s">
        <v>71</v>
      </c>
      <c r="D72" s="14" t="s">
        <v>55</v>
      </c>
      <c r="E72" s="14" t="s">
        <v>88</v>
      </c>
      <c r="F72" s="14">
        <v>3</v>
      </c>
      <c r="G72" s="14">
        <v>890</v>
      </c>
      <c r="H72" s="14">
        <v>2670</v>
      </c>
      <c r="I72" s="14" t="s">
        <v>118</v>
      </c>
      <c r="J72" s="14" t="str">
        <f>_xlfn.XLOOKUP(C72,'STAFF TABLE'!$A$2:$A$11,'STAFF TABLE'!$B$2:$B$11)</f>
        <v>Thabo Nkosi</v>
      </c>
      <c r="K72" s="14" t="str">
        <f>_xlfn.XLOOKUP(C72,'STAFF TABLE'!$A$2:$A$11,'STAFF TABLE'!$C$2:$C$11)</f>
        <v>Sandton Branch</v>
      </c>
      <c r="L72" s="14" t="str">
        <f>_xlfn.XLOOKUP(C72,'STAFF TABLE'!$A$2:$A$11,'STAFF TABLE'!$D$2:$D$11)</f>
        <v>Gauteng</v>
      </c>
      <c r="M72" s="14">
        <f>_xlfn.XLOOKUP(C72,'STAFF TABLE'!$A$2:$A$11,'STAFF TABLE'!$E$2:$E$11)</f>
        <v>0.08</v>
      </c>
      <c r="N72" s="14" t="str">
        <f>_xlfn.XLOOKUP(D72,'PRODUCT CATALOGUE'!$A$2:$A$13,'PRODUCT CATALOGUE'!$B$2:$B$13)</f>
        <v>Whiteboard</v>
      </c>
      <c r="O72" s="14" t="str">
        <f>_xlfn.XLOOKUP(D72,'PRODUCT CATALOGUE'!$A$2:$A$13,'PRODUCT CATALOGUE'!$C$2:$C$13)</f>
        <v>Stationery</v>
      </c>
      <c r="P72" s="14">
        <f>_xlfn.XLOOKUP(D72,'PRODUCT CATALOGUE'!$A$2:$A$13,'PRODUCT CATALOGUE'!$E$2:$E$13)</f>
        <v>420</v>
      </c>
      <c r="Q72" s="30">
        <v>2670</v>
      </c>
      <c r="R72" s="14">
        <f t="shared" si="4"/>
        <v>2250</v>
      </c>
      <c r="S72" s="31">
        <f t="shared" si="5"/>
        <v>0.84269662921348309</v>
      </c>
      <c r="T72" s="14">
        <f t="shared" si="6"/>
        <v>213.6</v>
      </c>
      <c r="U72" s="14" t="str">
        <f t="shared" si="7"/>
        <v>good</v>
      </c>
    </row>
    <row r="73" spans="1:21" ht="15" customHeight="1" x14ac:dyDescent="0.25">
      <c r="A73" s="8" t="s">
        <v>246</v>
      </c>
      <c r="B73" s="26" t="s">
        <v>247</v>
      </c>
      <c r="C73" s="8" t="s">
        <v>85</v>
      </c>
      <c r="D73" s="8" t="s">
        <v>35</v>
      </c>
      <c r="E73" s="8" t="s">
        <v>92</v>
      </c>
      <c r="F73" s="8">
        <v>1</v>
      </c>
      <c r="G73" s="8">
        <v>15000</v>
      </c>
      <c r="H73" s="8">
        <v>15000</v>
      </c>
      <c r="I73" s="8" t="s">
        <v>118</v>
      </c>
      <c r="J73" s="14" t="str">
        <f>_xlfn.XLOOKUP(C73,'STAFF TABLE'!$A$2:$A$11,'STAFF TABLE'!$B$2:$B$11)</f>
        <v>Amahle Zulu</v>
      </c>
      <c r="K73" s="14" t="str">
        <f>_xlfn.XLOOKUP(C73,'STAFF TABLE'!$A$2:$A$11,'STAFF TABLE'!$C$2:$C$11)</f>
        <v>Durban Branch</v>
      </c>
      <c r="L73" s="14" t="str">
        <f>_xlfn.XLOOKUP(C73,'STAFF TABLE'!$A$2:$A$11,'STAFF TABLE'!$D$2:$D$11)</f>
        <v>KZN</v>
      </c>
      <c r="M73" s="14">
        <f>_xlfn.XLOOKUP(C73,'STAFF TABLE'!$A$2:$A$11,'STAFF TABLE'!$E$2:$E$11)</f>
        <v>0.1</v>
      </c>
      <c r="N73" s="14" t="str">
        <f>_xlfn.XLOOKUP(D73,'PRODUCT CATALOGUE'!$A$2:$A$13,'PRODUCT CATALOGUE'!$B$2:$B$13)</f>
        <v>Gaming Laptop</v>
      </c>
      <c r="O73" s="14" t="str">
        <f>_xlfn.XLOOKUP(D73,'PRODUCT CATALOGUE'!$A$2:$A$13,'PRODUCT CATALOGUE'!$C$2:$C$13)</f>
        <v>Electronics</v>
      </c>
      <c r="P73" s="14">
        <f>_xlfn.XLOOKUP(D73,'PRODUCT CATALOGUE'!$A$2:$A$13,'PRODUCT CATALOGUE'!$E$2:$E$13)</f>
        <v>9800</v>
      </c>
      <c r="Q73" s="30">
        <v>15000</v>
      </c>
      <c r="R73" s="14">
        <f t="shared" si="4"/>
        <v>5200</v>
      </c>
      <c r="S73" s="31">
        <f t="shared" si="5"/>
        <v>0.34666666666666668</v>
      </c>
      <c r="T73" s="14">
        <f t="shared" si="6"/>
        <v>1500</v>
      </c>
      <c r="U73" s="14" t="str">
        <f t="shared" si="7"/>
        <v>good</v>
      </c>
    </row>
    <row r="74" spans="1:21" ht="15" customHeight="1" x14ac:dyDescent="0.25">
      <c r="A74" s="14" t="s">
        <v>248</v>
      </c>
      <c r="B74" s="25" t="s">
        <v>247</v>
      </c>
      <c r="C74" s="14" t="s">
        <v>79</v>
      </c>
      <c r="D74" s="14" t="s">
        <v>47</v>
      </c>
      <c r="E74" s="14" t="s">
        <v>128</v>
      </c>
      <c r="F74" s="14">
        <v>6</v>
      </c>
      <c r="G74" s="14">
        <v>1200</v>
      </c>
      <c r="H74" s="14">
        <v>6200</v>
      </c>
      <c r="I74" s="14" t="s">
        <v>118</v>
      </c>
      <c r="J74" s="14" t="str">
        <f>_xlfn.XLOOKUP(C74,'STAFF TABLE'!$A$2:$A$11,'STAFF TABLE'!$B$2:$B$11)</f>
        <v>Zanele Dlamini</v>
      </c>
      <c r="K74" s="14" t="str">
        <f>_xlfn.XLOOKUP(C74,'STAFF TABLE'!$A$2:$A$11,'STAFF TABLE'!$C$2:$C$11)</f>
        <v>Cape Town Branch</v>
      </c>
      <c r="L74" s="14" t="str">
        <f>_xlfn.XLOOKUP(C74,'STAFF TABLE'!$A$2:$A$11,'STAFF TABLE'!$D$2:$D$11)</f>
        <v>Western Cape</v>
      </c>
      <c r="M74" s="14">
        <f>_xlfn.XLOOKUP(C74,'STAFF TABLE'!$A$2:$A$11,'STAFF TABLE'!$E$2:$E$11)</f>
        <v>0.09</v>
      </c>
      <c r="N74" s="14" t="str">
        <f>_xlfn.XLOOKUP(D74,'PRODUCT CATALOGUE'!$A$2:$A$13,'PRODUCT CATALOGUE'!$B$2:$B$13)</f>
        <v>Webcam HD</v>
      </c>
      <c r="O74" s="14" t="str">
        <f>_xlfn.XLOOKUP(D74,'PRODUCT CATALOGUE'!$A$2:$A$13,'PRODUCT CATALOGUE'!$C$2:$C$13)</f>
        <v>Electronics</v>
      </c>
      <c r="P74" s="14">
        <f>_xlfn.XLOOKUP(D74,'PRODUCT CATALOGUE'!$A$2:$A$13,'PRODUCT CATALOGUE'!$E$2:$E$13)</f>
        <v>620</v>
      </c>
      <c r="Q74" s="30">
        <v>7200</v>
      </c>
      <c r="R74" s="14">
        <f t="shared" si="4"/>
        <v>6580</v>
      </c>
      <c r="S74" s="31">
        <f t="shared" si="5"/>
        <v>0.91388888888888886</v>
      </c>
      <c r="T74" s="14">
        <f t="shared" si="6"/>
        <v>648</v>
      </c>
      <c r="U74" s="14" t="str">
        <f t="shared" si="7"/>
        <v>good</v>
      </c>
    </row>
    <row r="75" spans="1:21" ht="15" customHeight="1" x14ac:dyDescent="0.25">
      <c r="A75" s="8" t="s">
        <v>249</v>
      </c>
      <c r="B75" s="26" t="s">
        <v>250</v>
      </c>
      <c r="C75" s="8" t="s">
        <v>93</v>
      </c>
      <c r="D75" s="8" t="s">
        <v>57</v>
      </c>
      <c r="E75" s="8" t="s">
        <v>131</v>
      </c>
      <c r="F75" s="8">
        <v>2</v>
      </c>
      <c r="G75" s="8">
        <v>4800</v>
      </c>
      <c r="H75" s="8">
        <v>9600</v>
      </c>
      <c r="I75" s="8" t="s">
        <v>118</v>
      </c>
      <c r="J75" s="14" t="str">
        <f>_xlfn.XLOOKUP(C75,'STAFF TABLE'!$A$2:$A$11,'STAFF TABLE'!$B$2:$B$11)</f>
        <v>Kefilwe Sithole</v>
      </c>
      <c r="K75" s="14" t="str">
        <f>_xlfn.XLOOKUP(C75,'STAFF TABLE'!$A$2:$A$11,'STAFF TABLE'!$C$2:$C$11)</f>
        <v>Sandton Branch</v>
      </c>
      <c r="L75" s="14" t="str">
        <f>_xlfn.XLOOKUP(C75,'STAFF TABLE'!$A$2:$A$11,'STAFF TABLE'!$D$2:$D$11)</f>
        <v>Gauteng</v>
      </c>
      <c r="M75" s="14">
        <f>_xlfn.XLOOKUP(C75,'STAFF TABLE'!$A$2:$A$11,'STAFF TABLE'!$E$2:$E$11)</f>
        <v>0.08</v>
      </c>
      <c r="N75" s="14" t="str">
        <f>_xlfn.XLOOKUP(D75,'PRODUCT CATALOGUE'!$A$2:$A$13,'PRODUCT CATALOGUE'!$B$2:$B$13)</f>
        <v>Monitor 27inch</v>
      </c>
      <c r="O75" s="14" t="str">
        <f>_xlfn.XLOOKUP(D75,'PRODUCT CATALOGUE'!$A$2:$A$13,'PRODUCT CATALOGUE'!$C$2:$C$13)</f>
        <v>Electronics</v>
      </c>
      <c r="P75" s="14">
        <f>_xlfn.XLOOKUP(D75,'PRODUCT CATALOGUE'!$A$2:$A$13,'PRODUCT CATALOGUE'!$E$2:$E$13)</f>
        <v>2900</v>
      </c>
      <c r="Q75" s="30">
        <v>9600</v>
      </c>
      <c r="R75" s="14">
        <f t="shared" si="4"/>
        <v>6700</v>
      </c>
      <c r="S75" s="31">
        <f t="shared" si="5"/>
        <v>0.69791666666666663</v>
      </c>
      <c r="T75" s="14">
        <f t="shared" si="6"/>
        <v>768</v>
      </c>
      <c r="U75" s="14" t="str">
        <f t="shared" si="7"/>
        <v>good</v>
      </c>
    </row>
    <row r="76" spans="1:21" ht="15" customHeight="1" x14ac:dyDescent="0.25">
      <c r="A76" s="14" t="s">
        <v>251</v>
      </c>
      <c r="B76" s="25" t="s">
        <v>252</v>
      </c>
      <c r="C76" s="14" t="s">
        <v>75</v>
      </c>
      <c r="D76" s="14" t="s">
        <v>45</v>
      </c>
      <c r="E76" s="14" t="s">
        <v>84</v>
      </c>
      <c r="F76" s="14">
        <v>1</v>
      </c>
      <c r="G76" s="14">
        <v>5500</v>
      </c>
      <c r="H76" s="14">
        <v>5500</v>
      </c>
      <c r="I76" s="14" t="s">
        <v>118</v>
      </c>
      <c r="J76" s="14" t="str">
        <f>_xlfn.XLOOKUP(C76,'STAFF TABLE'!$A$2:$A$11,'STAFF TABLE'!$B$2:$B$11)</f>
        <v>Priya Pillay</v>
      </c>
      <c r="K76" s="14" t="str">
        <f>_xlfn.XLOOKUP(C76,'STAFF TABLE'!$A$2:$A$11,'STAFF TABLE'!$C$2:$C$11)</f>
        <v>Durban Branch</v>
      </c>
      <c r="L76" s="14" t="str">
        <f>_xlfn.XLOOKUP(C76,'STAFF TABLE'!$A$2:$A$11,'STAFF TABLE'!$D$2:$D$11)</f>
        <v>KZN</v>
      </c>
      <c r="M76" s="14">
        <f>_xlfn.XLOOKUP(C76,'STAFF TABLE'!$A$2:$A$11,'STAFF TABLE'!$E$2:$E$11)</f>
        <v>0.1</v>
      </c>
      <c r="N76" s="14" t="str">
        <f>_xlfn.XLOOKUP(D76,'PRODUCT CATALOGUE'!$A$2:$A$13,'PRODUCT CATALOGUE'!$B$2:$B$13)</f>
        <v>Standing Desk</v>
      </c>
      <c r="O76" s="14" t="str">
        <f>_xlfn.XLOOKUP(D76,'PRODUCT CATALOGUE'!$A$2:$A$13,'PRODUCT CATALOGUE'!$C$2:$C$13)</f>
        <v>Furniture</v>
      </c>
      <c r="P76" s="14">
        <f>_xlfn.XLOOKUP(D76,'PRODUCT CATALOGUE'!$A$2:$A$13,'PRODUCT CATALOGUE'!$E$2:$E$13)</f>
        <v>3100</v>
      </c>
      <c r="Q76" s="30">
        <v>5500</v>
      </c>
      <c r="R76" s="14">
        <f t="shared" si="4"/>
        <v>2400</v>
      </c>
      <c r="S76" s="31">
        <f t="shared" si="5"/>
        <v>0.43636363636363634</v>
      </c>
      <c r="T76" s="14">
        <f t="shared" si="6"/>
        <v>550</v>
      </c>
      <c r="U76" s="14" t="str">
        <f t="shared" si="7"/>
        <v>good</v>
      </c>
    </row>
    <row r="77" spans="1:21" ht="15" customHeight="1" x14ac:dyDescent="0.25">
      <c r="A77" s="8" t="s">
        <v>253</v>
      </c>
      <c r="B77" s="26" t="s">
        <v>252</v>
      </c>
      <c r="C77" s="8" t="s">
        <v>87</v>
      </c>
      <c r="D77" s="8" t="s">
        <v>53</v>
      </c>
      <c r="E77" s="8" t="s">
        <v>86</v>
      </c>
      <c r="F77" s="8">
        <v>2</v>
      </c>
      <c r="G77" s="8">
        <v>2100</v>
      </c>
      <c r="H77" s="8">
        <v>4200</v>
      </c>
      <c r="I77" s="8" t="s">
        <v>118</v>
      </c>
      <c r="J77" s="14" t="str">
        <f>_xlfn.XLOOKUP(C77,'STAFF TABLE'!$A$2:$A$11,'STAFF TABLE'!$B$2:$B$11)</f>
        <v>Lebo Mahlangu</v>
      </c>
      <c r="K77" s="14" t="str">
        <f>_xlfn.XLOOKUP(C77,'STAFF TABLE'!$A$2:$A$11,'STAFF TABLE'!$C$2:$C$11)</f>
        <v>Polokwane Branch</v>
      </c>
      <c r="L77" s="14" t="str">
        <f>_xlfn.XLOOKUP(C77,'STAFF TABLE'!$A$2:$A$11,'STAFF TABLE'!$D$2:$D$11)</f>
        <v>Limpopo</v>
      </c>
      <c r="M77" s="14">
        <f>_xlfn.XLOOKUP(C77,'STAFF TABLE'!$A$2:$A$11,'STAFF TABLE'!$E$2:$E$11)</f>
        <v>7.0000000000000007E-2</v>
      </c>
      <c r="N77" s="14" t="str">
        <f>_xlfn.XLOOKUP(D77,'PRODUCT CATALOGUE'!$A$2:$A$13,'PRODUCT CATALOGUE'!$B$2:$B$13)</f>
        <v>Mechanical Keyboard</v>
      </c>
      <c r="O77" s="14" t="str">
        <f>_xlfn.XLOOKUP(D77,'PRODUCT CATALOGUE'!$A$2:$A$13,'PRODUCT CATALOGUE'!$C$2:$C$13)</f>
        <v>Electronics</v>
      </c>
      <c r="P77" s="14">
        <f>_xlfn.XLOOKUP(D77,'PRODUCT CATALOGUE'!$A$2:$A$13,'PRODUCT CATALOGUE'!$E$2:$E$13)</f>
        <v>1100</v>
      </c>
      <c r="Q77" s="30">
        <v>4200</v>
      </c>
      <c r="R77" s="14">
        <f t="shared" si="4"/>
        <v>3100</v>
      </c>
      <c r="S77" s="31">
        <f t="shared" si="5"/>
        <v>0.73809523809523814</v>
      </c>
      <c r="T77" s="14">
        <f t="shared" si="6"/>
        <v>294</v>
      </c>
      <c r="U77" s="14" t="str">
        <f t="shared" si="7"/>
        <v>good</v>
      </c>
    </row>
    <row r="78" spans="1:21" ht="15" customHeight="1" x14ac:dyDescent="0.25">
      <c r="A78" s="14" t="s">
        <v>254</v>
      </c>
      <c r="B78" s="25" t="s">
        <v>255</v>
      </c>
      <c r="C78" s="14" t="s">
        <v>95</v>
      </c>
      <c r="D78" s="14" t="s">
        <v>39</v>
      </c>
      <c r="E78" s="14" t="s">
        <v>88</v>
      </c>
      <c r="F78" s="14">
        <v>1</v>
      </c>
      <c r="G78" s="14">
        <v>3200</v>
      </c>
      <c r="H78" s="14">
        <v>3200</v>
      </c>
      <c r="I78" s="14" t="s">
        <v>118</v>
      </c>
      <c r="J78" s="14" t="str">
        <f>_xlfn.XLOOKUP(C78,'STAFF TABLE'!$A$2:$A$11,'STAFF TABLE'!$B$2:$B$11)</f>
        <v>David Moyo</v>
      </c>
      <c r="K78" s="14" t="str">
        <f>_xlfn.XLOOKUP(C78,'STAFF TABLE'!$A$2:$A$11,'STAFF TABLE'!$C$2:$C$11)</f>
        <v>Polokwane Branch</v>
      </c>
      <c r="L78" s="14" t="str">
        <f>_xlfn.XLOOKUP(C78,'STAFF TABLE'!$A$2:$A$11,'STAFF TABLE'!$D$2:$D$11)</f>
        <v>Limpopo</v>
      </c>
      <c r="M78" s="14">
        <f>_xlfn.XLOOKUP(C78,'STAFF TABLE'!$A$2:$A$11,'STAFF TABLE'!$E$2:$E$11)</f>
        <v>7.0000000000000007E-2</v>
      </c>
      <c r="N78" s="14" t="str">
        <f>_xlfn.XLOOKUP(D78,'PRODUCT CATALOGUE'!$A$2:$A$13,'PRODUCT CATALOGUE'!$B$2:$B$13)</f>
        <v>Office Chair</v>
      </c>
      <c r="O78" s="14" t="str">
        <f>_xlfn.XLOOKUP(D78,'PRODUCT CATALOGUE'!$A$2:$A$13,'PRODUCT CATALOGUE'!$C$2:$C$13)</f>
        <v>Furniture</v>
      </c>
      <c r="P78" s="14">
        <f>_xlfn.XLOOKUP(D78,'PRODUCT CATALOGUE'!$A$2:$A$13,'PRODUCT CATALOGUE'!$E$2:$E$13)</f>
        <v>1750</v>
      </c>
      <c r="Q78" s="30">
        <v>3200</v>
      </c>
      <c r="R78" s="14">
        <f t="shared" si="4"/>
        <v>1450</v>
      </c>
      <c r="S78" s="31">
        <f t="shared" si="5"/>
        <v>0.453125</v>
      </c>
      <c r="T78" s="14">
        <f t="shared" si="6"/>
        <v>224.00000000000003</v>
      </c>
      <c r="U78" s="14" t="str">
        <f t="shared" si="7"/>
        <v>good</v>
      </c>
    </row>
    <row r="79" spans="1:21" ht="15" customHeight="1" x14ac:dyDescent="0.25">
      <c r="A79" s="8" t="s">
        <v>256</v>
      </c>
      <c r="B79" s="26" t="s">
        <v>257</v>
      </c>
      <c r="C79" s="8" t="s">
        <v>91</v>
      </c>
      <c r="D79" s="8" t="s">
        <v>49</v>
      </c>
      <c r="E79" s="8" t="s">
        <v>92</v>
      </c>
      <c r="F79" s="8">
        <v>10</v>
      </c>
      <c r="G79" s="8">
        <v>350</v>
      </c>
      <c r="H79" s="8">
        <v>3500</v>
      </c>
      <c r="I79" s="8" t="s">
        <v>118</v>
      </c>
      <c r="J79" s="14" t="str">
        <f>_xlfn.XLOOKUP(C79,'STAFF TABLE'!$A$2:$A$11,'STAFF TABLE'!$B$2:$B$11)</f>
        <v>Fatima Patel</v>
      </c>
      <c r="K79" s="14" t="str">
        <f>_xlfn.XLOOKUP(C79,'STAFF TABLE'!$A$2:$A$11,'STAFF TABLE'!$C$2:$C$11)</f>
        <v>Cape Town Branch</v>
      </c>
      <c r="L79" s="14" t="str">
        <f>_xlfn.XLOOKUP(C79,'STAFF TABLE'!$A$2:$A$11,'STAFF TABLE'!$D$2:$D$11)</f>
        <v>Western Cape</v>
      </c>
      <c r="M79" s="14">
        <f>_xlfn.XLOOKUP(C79,'STAFF TABLE'!$A$2:$A$11,'STAFF TABLE'!$E$2:$E$11)</f>
        <v>0.09</v>
      </c>
      <c r="N79" s="14" t="str">
        <f>_xlfn.XLOOKUP(D79,'PRODUCT CATALOGUE'!$A$2:$A$13,'PRODUCT CATALOGUE'!$B$2:$B$13)</f>
        <v>Notebook Bundle</v>
      </c>
      <c r="O79" s="14" t="str">
        <f>_xlfn.XLOOKUP(D79,'PRODUCT CATALOGUE'!$A$2:$A$13,'PRODUCT CATALOGUE'!$C$2:$C$13)</f>
        <v>Stationery</v>
      </c>
      <c r="P79" s="14">
        <f>_xlfn.XLOOKUP(D79,'PRODUCT CATALOGUE'!$A$2:$A$13,'PRODUCT CATALOGUE'!$E$2:$E$13)</f>
        <v>140</v>
      </c>
      <c r="Q79" s="30">
        <v>3500</v>
      </c>
      <c r="R79" s="14">
        <f t="shared" si="4"/>
        <v>3360</v>
      </c>
      <c r="S79" s="31">
        <f t="shared" si="5"/>
        <v>0.96</v>
      </c>
      <c r="T79" s="14">
        <f t="shared" si="6"/>
        <v>315</v>
      </c>
      <c r="U79" s="14" t="str">
        <f t="shared" si="7"/>
        <v>good</v>
      </c>
    </row>
    <row r="80" spans="1:21" ht="15" customHeight="1" x14ac:dyDescent="0.25">
      <c r="A80" s="14" t="s">
        <v>258</v>
      </c>
      <c r="B80" s="25" t="s">
        <v>259</v>
      </c>
      <c r="C80" s="14" t="s">
        <v>83</v>
      </c>
      <c r="D80" s="14" t="s">
        <v>59</v>
      </c>
      <c r="E80" s="14" t="s">
        <v>128</v>
      </c>
      <c r="F80" s="14">
        <v>5</v>
      </c>
      <c r="G80" s="14">
        <v>650</v>
      </c>
      <c r="H80" s="14">
        <v>3250</v>
      </c>
      <c r="I80" s="14" t="s">
        <v>118</v>
      </c>
      <c r="J80" s="14" t="str">
        <f>_xlfn.XLOOKUP(C80,'STAFF TABLE'!$A$2:$A$11,'STAFF TABLE'!$B$2:$B$11)</f>
        <v>Riaan Botha</v>
      </c>
      <c r="K80" s="14" t="str">
        <f>_xlfn.XLOOKUP(C80,'STAFF TABLE'!$A$2:$A$11,'STAFF TABLE'!$C$2:$C$11)</f>
        <v>Sandton Branch</v>
      </c>
      <c r="L80" s="14" t="str">
        <f>_xlfn.XLOOKUP(C80,'STAFF TABLE'!$A$2:$A$11,'STAFF TABLE'!$D$2:$D$11)</f>
        <v>Gauteng</v>
      </c>
      <c r="M80" s="14">
        <f>_xlfn.XLOOKUP(C80,'STAFF TABLE'!$A$2:$A$11,'STAFF TABLE'!$E$2:$E$11)</f>
        <v>0.08</v>
      </c>
      <c r="N80" s="14" t="str">
        <f>_xlfn.XLOOKUP(D80,'PRODUCT CATALOGUE'!$A$2:$A$13,'PRODUCT CATALOGUE'!$B$2:$B$13)</f>
        <v>Ergonomic Mouse</v>
      </c>
      <c r="O80" s="14" t="str">
        <f>_xlfn.XLOOKUP(D80,'PRODUCT CATALOGUE'!$A$2:$A$13,'PRODUCT CATALOGUE'!$C$2:$C$13)</f>
        <v>Electronics</v>
      </c>
      <c r="P80" s="14">
        <f>_xlfn.XLOOKUP(D80,'PRODUCT CATALOGUE'!$A$2:$A$13,'PRODUCT CATALOGUE'!$E$2:$E$13)</f>
        <v>310</v>
      </c>
      <c r="Q80" s="30">
        <v>3250</v>
      </c>
      <c r="R80" s="14">
        <f t="shared" si="4"/>
        <v>2940</v>
      </c>
      <c r="S80" s="31">
        <f t="shared" si="5"/>
        <v>0.9046153846153846</v>
      </c>
      <c r="T80" s="14">
        <f t="shared" si="6"/>
        <v>260</v>
      </c>
      <c r="U80" s="14" t="str">
        <f t="shared" si="7"/>
        <v>good</v>
      </c>
    </row>
    <row r="81" spans="1:21" ht="15" customHeight="1" x14ac:dyDescent="0.25">
      <c r="A81" s="8" t="s">
        <v>260</v>
      </c>
      <c r="B81" s="26" t="s">
        <v>261</v>
      </c>
      <c r="C81" s="8" t="s">
        <v>97</v>
      </c>
      <c r="D81" s="8" t="s">
        <v>43</v>
      </c>
      <c r="E81" s="8" t="s">
        <v>131</v>
      </c>
      <c r="F81" s="8">
        <v>3</v>
      </c>
      <c r="G81" s="8">
        <v>1800</v>
      </c>
      <c r="H81" s="8">
        <v>5400</v>
      </c>
      <c r="I81" s="8" t="s">
        <v>118</v>
      </c>
      <c r="J81" s="14" t="str">
        <f>_xlfn.XLOOKUP(C81,'STAFF TABLE'!$A$2:$A$11,'STAFF TABLE'!$B$2:$B$11)</f>
        <v>Sipho Dlamini</v>
      </c>
      <c r="K81" s="14" t="str">
        <f>_xlfn.XLOOKUP(C81,'STAFF TABLE'!$A$2:$A$11,'STAFF TABLE'!$C$2:$C$11)</f>
        <v>Durban Branch</v>
      </c>
      <c r="L81" s="14" t="str">
        <f>_xlfn.XLOOKUP(C81,'STAFF TABLE'!$A$2:$A$11,'STAFF TABLE'!$D$2:$D$11)</f>
        <v>KZN</v>
      </c>
      <c r="M81" s="14">
        <f>_xlfn.XLOOKUP(C81,'STAFF TABLE'!$A$2:$A$11,'STAFF TABLE'!$E$2:$E$11)</f>
        <v>0.1</v>
      </c>
      <c r="N81" s="14" t="str">
        <f>_xlfn.XLOOKUP(D81,'PRODUCT CATALOGUE'!$A$2:$A$13,'PRODUCT CATALOGUE'!$B$2:$B$13)</f>
        <v>Wireless Headset</v>
      </c>
      <c r="O81" s="14" t="str">
        <f>_xlfn.XLOOKUP(D81,'PRODUCT CATALOGUE'!$A$2:$A$13,'PRODUCT CATALOGUE'!$C$2:$C$13)</f>
        <v>Electronics</v>
      </c>
      <c r="P81" s="14">
        <f>_xlfn.XLOOKUP(D81,'PRODUCT CATALOGUE'!$A$2:$A$13,'PRODUCT CATALOGUE'!$E$2:$E$13)</f>
        <v>950</v>
      </c>
      <c r="Q81" s="30">
        <v>5400</v>
      </c>
      <c r="R81" s="14">
        <f t="shared" si="4"/>
        <v>4450</v>
      </c>
      <c r="S81" s="31">
        <f t="shared" si="5"/>
        <v>0.82407407407407407</v>
      </c>
      <c r="T81" s="14">
        <f t="shared" si="6"/>
        <v>540</v>
      </c>
      <c r="U81" s="14" t="str">
        <f t="shared" si="7"/>
        <v>good</v>
      </c>
    </row>
  </sheetData>
  <autoFilter ref="A1:U81" xr:uid="{00000000-0001-0000-0300-000000000000}"/>
  <sortState xmlns:xlrd2="http://schemas.microsoft.com/office/spreadsheetml/2017/richdata2" ref="A2:U81">
    <sortCondition ref="A1:A8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"/>
  <sheetViews>
    <sheetView zoomScale="80" zoomScaleNormal="80" workbookViewId="0">
      <pane ySplit="1" topLeftCell="A62" activePane="bottomLeft" state="frozen"/>
      <selection pane="bottomLeft" activeCell="D71" sqref="D71"/>
    </sheetView>
  </sheetViews>
  <sheetFormatPr defaultRowHeight="15" x14ac:dyDescent="0.25"/>
  <cols>
    <col min="1" max="1" width="10" customWidth="1"/>
    <col min="2" max="2" width="13" style="45" customWidth="1"/>
    <col min="3" max="3" width="8" customWidth="1"/>
    <col min="4" max="4" width="10.5703125" bestFit="1" customWidth="1"/>
    <col min="5" max="5" width="20" customWidth="1"/>
    <col min="6" max="6" width="9.42578125" bestFit="1" customWidth="1"/>
    <col min="7" max="7" width="14" customWidth="1"/>
    <col min="8" max="8" width="18.7109375" bestFit="1" customWidth="1"/>
    <col min="9" max="9" width="12" customWidth="1"/>
    <col min="10" max="10" width="23.140625" bestFit="1" customWidth="1"/>
    <col min="11" max="11" width="18" customWidth="1"/>
    <col min="12" max="12" width="15" customWidth="1"/>
    <col min="13" max="13" width="18.42578125" style="32" bestFit="1" customWidth="1"/>
    <col min="14" max="14" width="26.5703125" bestFit="1" customWidth="1"/>
    <col min="15" max="16" width="14" customWidth="1"/>
    <col min="17" max="17" width="16.42578125" bestFit="1" customWidth="1"/>
    <col min="18" max="18" width="12" customWidth="1"/>
    <col min="19" max="19" width="16" style="32" bestFit="1" customWidth="1"/>
    <col min="20" max="20" width="24.28515625" bestFit="1" customWidth="1"/>
    <col min="21" max="21" width="18.140625" bestFit="1" customWidth="1"/>
  </cols>
  <sheetData>
    <row r="1" spans="1:21" ht="27.75" hidden="1" customHeight="1" x14ac:dyDescent="0.25"/>
    <row r="2" spans="1:21" x14ac:dyDescent="0.25">
      <c r="A2" s="15" t="s">
        <v>99</v>
      </c>
      <c r="B2" s="45" t="s">
        <v>100</v>
      </c>
      <c r="C2" t="s">
        <v>65</v>
      </c>
      <c r="D2" t="s">
        <v>29</v>
      </c>
      <c r="E2" t="s">
        <v>101</v>
      </c>
      <c r="F2" t="s">
        <v>102</v>
      </c>
      <c r="G2" t="s">
        <v>32</v>
      </c>
      <c r="H2" t="s">
        <v>103</v>
      </c>
      <c r="I2" t="s">
        <v>104</v>
      </c>
      <c r="J2" t="s">
        <v>305</v>
      </c>
      <c r="K2" t="s">
        <v>67</v>
      </c>
      <c r="L2" t="s">
        <v>68</v>
      </c>
      <c r="M2" s="32" t="s">
        <v>69</v>
      </c>
      <c r="N2" t="s">
        <v>306</v>
      </c>
      <c r="O2" t="s">
        <v>31</v>
      </c>
      <c r="P2" t="s">
        <v>33</v>
      </c>
      <c r="Q2" t="s">
        <v>307</v>
      </c>
      <c r="R2" t="s">
        <v>108</v>
      </c>
      <c r="S2" s="32" t="s">
        <v>109</v>
      </c>
      <c r="T2" t="s">
        <v>110</v>
      </c>
      <c r="U2" t="s">
        <v>111</v>
      </c>
    </row>
    <row r="3" spans="1:21" x14ac:dyDescent="0.25">
      <c r="A3" t="s">
        <v>112</v>
      </c>
      <c r="B3" s="46">
        <v>46027</v>
      </c>
      <c r="C3" t="s">
        <v>71</v>
      </c>
      <c r="D3" t="s">
        <v>57</v>
      </c>
      <c r="E3" t="s">
        <v>92</v>
      </c>
      <c r="F3">
        <v>2</v>
      </c>
      <c r="G3">
        <v>4800</v>
      </c>
      <c r="H3">
        <v>9600</v>
      </c>
      <c r="I3" t="s">
        <v>118</v>
      </c>
      <c r="J3" t="s">
        <v>72</v>
      </c>
      <c r="K3" t="s">
        <v>73</v>
      </c>
      <c r="L3" t="s">
        <v>74</v>
      </c>
      <c r="M3" s="32">
        <v>0.08</v>
      </c>
      <c r="N3" t="s">
        <v>58</v>
      </c>
      <c r="O3" t="s">
        <v>37</v>
      </c>
      <c r="P3">
        <v>2900</v>
      </c>
      <c r="Q3">
        <v>9600</v>
      </c>
      <c r="R3">
        <v>6700</v>
      </c>
      <c r="S3" s="32">
        <v>0.69791666666666663</v>
      </c>
      <c r="T3">
        <v>768</v>
      </c>
      <c r="U3" t="s">
        <v>303</v>
      </c>
    </row>
    <row r="4" spans="1:21" x14ac:dyDescent="0.25">
      <c r="A4" s="35" t="s">
        <v>114</v>
      </c>
      <c r="B4" s="47">
        <v>46027</v>
      </c>
      <c r="C4" s="35" t="s">
        <v>79</v>
      </c>
      <c r="D4" s="35" t="s">
        <v>35</v>
      </c>
      <c r="E4" s="35" t="s">
        <v>300</v>
      </c>
      <c r="F4" s="35">
        <v>1</v>
      </c>
      <c r="G4" s="35">
        <v>15000</v>
      </c>
      <c r="H4" s="35">
        <v>15000</v>
      </c>
      <c r="I4" s="35" t="s">
        <v>118</v>
      </c>
      <c r="J4" s="35" t="s">
        <v>80</v>
      </c>
      <c r="K4" s="35" t="s">
        <v>81</v>
      </c>
      <c r="L4" s="35" t="s">
        <v>82</v>
      </c>
      <c r="M4" s="36">
        <v>0.09</v>
      </c>
      <c r="N4" s="35" t="s">
        <v>36</v>
      </c>
      <c r="O4" s="35" t="s">
        <v>37</v>
      </c>
      <c r="P4" s="35">
        <v>9800</v>
      </c>
      <c r="Q4" s="35">
        <v>15000</v>
      </c>
      <c r="R4" s="35">
        <v>5200</v>
      </c>
      <c r="S4" s="36">
        <v>0.34666666666666668</v>
      </c>
      <c r="T4" s="35">
        <v>1350</v>
      </c>
      <c r="U4" s="35" t="s">
        <v>303</v>
      </c>
    </row>
    <row r="5" spans="1:21" x14ac:dyDescent="0.25">
      <c r="A5" t="s">
        <v>116</v>
      </c>
      <c r="B5" s="46">
        <v>46028</v>
      </c>
      <c r="C5" t="s">
        <v>85</v>
      </c>
      <c r="D5" t="s">
        <v>53</v>
      </c>
      <c r="E5" t="s">
        <v>128</v>
      </c>
      <c r="F5">
        <v>3</v>
      </c>
      <c r="G5">
        <v>2100</v>
      </c>
      <c r="H5">
        <v>6300</v>
      </c>
      <c r="I5" t="s">
        <v>118</v>
      </c>
      <c r="J5" t="s">
        <v>86</v>
      </c>
      <c r="K5" t="s">
        <v>77</v>
      </c>
      <c r="L5" t="s">
        <v>78</v>
      </c>
      <c r="M5" s="32">
        <v>0.1</v>
      </c>
      <c r="N5" t="s">
        <v>54</v>
      </c>
      <c r="O5" t="s">
        <v>37</v>
      </c>
      <c r="P5">
        <v>1100</v>
      </c>
      <c r="Q5">
        <v>6300</v>
      </c>
      <c r="R5">
        <v>5200</v>
      </c>
      <c r="S5" s="32">
        <v>0.82539682539682535</v>
      </c>
      <c r="T5">
        <v>630</v>
      </c>
      <c r="U5" t="s">
        <v>303</v>
      </c>
    </row>
    <row r="6" spans="1:21" x14ac:dyDescent="0.25">
      <c r="A6" t="s">
        <v>119</v>
      </c>
      <c r="B6" s="46">
        <v>46028</v>
      </c>
      <c r="C6" t="s">
        <v>75</v>
      </c>
      <c r="D6" t="s">
        <v>45</v>
      </c>
      <c r="E6" t="s">
        <v>131</v>
      </c>
      <c r="F6">
        <v>1</v>
      </c>
      <c r="G6">
        <v>5500</v>
      </c>
      <c r="H6">
        <v>5500</v>
      </c>
      <c r="I6" t="s">
        <v>118</v>
      </c>
      <c r="J6" t="s">
        <v>76</v>
      </c>
      <c r="K6" t="s">
        <v>77</v>
      </c>
      <c r="L6" t="s">
        <v>78</v>
      </c>
      <c r="M6" s="32">
        <v>0.1</v>
      </c>
      <c r="N6" t="s">
        <v>46</v>
      </c>
      <c r="O6" t="s">
        <v>41</v>
      </c>
      <c r="P6">
        <v>3100</v>
      </c>
      <c r="Q6">
        <v>5500</v>
      </c>
      <c r="R6">
        <v>2400</v>
      </c>
      <c r="S6" s="32">
        <v>0.43636363636363634</v>
      </c>
      <c r="T6">
        <v>550</v>
      </c>
      <c r="U6" t="s">
        <v>303</v>
      </c>
    </row>
    <row r="7" spans="1:21" x14ac:dyDescent="0.25">
      <c r="A7" t="s">
        <v>120</v>
      </c>
      <c r="B7" s="46">
        <v>46029</v>
      </c>
      <c r="C7" t="s">
        <v>93</v>
      </c>
      <c r="D7" t="s">
        <v>49</v>
      </c>
      <c r="E7" t="s">
        <v>94</v>
      </c>
      <c r="F7">
        <v>2</v>
      </c>
      <c r="G7">
        <v>350</v>
      </c>
      <c r="H7">
        <v>700</v>
      </c>
      <c r="I7" t="s">
        <v>118</v>
      </c>
      <c r="J7" t="s">
        <v>94</v>
      </c>
      <c r="K7" t="s">
        <v>73</v>
      </c>
      <c r="L7" t="s">
        <v>74</v>
      </c>
      <c r="M7" s="32">
        <v>0.08</v>
      </c>
      <c r="N7" t="s">
        <v>50</v>
      </c>
      <c r="O7" t="s">
        <v>51</v>
      </c>
      <c r="P7">
        <v>140</v>
      </c>
      <c r="Q7">
        <v>700</v>
      </c>
      <c r="R7">
        <v>560</v>
      </c>
      <c r="S7" s="32">
        <v>0.8</v>
      </c>
      <c r="T7">
        <v>56</v>
      </c>
      <c r="U7" t="s">
        <v>303</v>
      </c>
    </row>
    <row r="8" spans="1:21" x14ac:dyDescent="0.25">
      <c r="A8" t="s">
        <v>122</v>
      </c>
      <c r="B8" s="46">
        <v>46029</v>
      </c>
      <c r="C8" t="s">
        <v>87</v>
      </c>
      <c r="D8" t="s">
        <v>39</v>
      </c>
      <c r="E8" t="s">
        <v>98</v>
      </c>
      <c r="F8">
        <v>1</v>
      </c>
      <c r="G8">
        <v>3200</v>
      </c>
      <c r="H8">
        <v>3200</v>
      </c>
      <c r="I8" t="s">
        <v>153</v>
      </c>
      <c r="J8" t="s">
        <v>88</v>
      </c>
      <c r="K8" t="s">
        <v>89</v>
      </c>
      <c r="L8" t="s">
        <v>90</v>
      </c>
      <c r="M8" s="32">
        <v>7.0000000000000007E-2</v>
      </c>
      <c r="N8" t="s">
        <v>40</v>
      </c>
      <c r="O8" t="s">
        <v>41</v>
      </c>
      <c r="P8">
        <v>1750</v>
      </c>
      <c r="Q8">
        <v>3200</v>
      </c>
      <c r="R8">
        <v>1450</v>
      </c>
      <c r="S8" s="32">
        <v>0.453125</v>
      </c>
      <c r="T8">
        <v>224.00000000000003</v>
      </c>
      <c r="U8" t="s">
        <v>303</v>
      </c>
    </row>
    <row r="9" spans="1:21" x14ac:dyDescent="0.25">
      <c r="A9" t="s">
        <v>123</v>
      </c>
      <c r="B9" s="46">
        <v>46029</v>
      </c>
      <c r="C9" t="s">
        <v>71</v>
      </c>
      <c r="D9" t="s">
        <v>59</v>
      </c>
      <c r="E9" t="s">
        <v>96</v>
      </c>
      <c r="F9">
        <v>5</v>
      </c>
      <c r="G9">
        <v>650</v>
      </c>
      <c r="H9">
        <v>3250</v>
      </c>
      <c r="I9" t="s">
        <v>118</v>
      </c>
      <c r="J9" t="s">
        <v>72</v>
      </c>
      <c r="K9" t="s">
        <v>73</v>
      </c>
      <c r="L9" t="s">
        <v>74</v>
      </c>
      <c r="M9" s="32">
        <v>0.08</v>
      </c>
      <c r="N9" t="s">
        <v>60</v>
      </c>
      <c r="O9" t="s">
        <v>37</v>
      </c>
      <c r="P9">
        <v>310</v>
      </c>
      <c r="Q9">
        <v>3250</v>
      </c>
      <c r="R9">
        <v>2940</v>
      </c>
      <c r="S9" s="32">
        <v>0.9046153846153846</v>
      </c>
      <c r="T9">
        <v>260</v>
      </c>
      <c r="U9" t="s">
        <v>303</v>
      </c>
    </row>
    <row r="10" spans="1:21" x14ac:dyDescent="0.25">
      <c r="A10" t="s">
        <v>125</v>
      </c>
      <c r="B10" s="46">
        <v>46030</v>
      </c>
      <c r="C10" t="s">
        <v>83</v>
      </c>
      <c r="D10" t="s">
        <v>43</v>
      </c>
      <c r="E10" t="s">
        <v>76</v>
      </c>
      <c r="F10">
        <v>4</v>
      </c>
      <c r="G10">
        <v>1800</v>
      </c>
      <c r="H10">
        <v>7200</v>
      </c>
      <c r="I10" t="s">
        <v>118</v>
      </c>
      <c r="J10" t="s">
        <v>84</v>
      </c>
      <c r="K10" t="s">
        <v>73</v>
      </c>
      <c r="L10" t="s">
        <v>74</v>
      </c>
      <c r="M10" s="32">
        <v>0.08</v>
      </c>
      <c r="N10" t="s">
        <v>44</v>
      </c>
      <c r="O10" t="s">
        <v>37</v>
      </c>
      <c r="P10">
        <v>950</v>
      </c>
      <c r="Q10">
        <v>7200</v>
      </c>
      <c r="R10">
        <v>6250</v>
      </c>
      <c r="S10" s="32">
        <v>0.86805555555555558</v>
      </c>
      <c r="T10">
        <v>576</v>
      </c>
      <c r="U10" t="s">
        <v>303</v>
      </c>
    </row>
    <row r="11" spans="1:21" x14ac:dyDescent="0.25">
      <c r="A11" t="s">
        <v>127</v>
      </c>
      <c r="B11" s="46">
        <v>46030</v>
      </c>
      <c r="C11" t="s">
        <v>91</v>
      </c>
      <c r="D11" t="s">
        <v>35</v>
      </c>
      <c r="E11" t="s">
        <v>140</v>
      </c>
      <c r="F11">
        <v>2</v>
      </c>
      <c r="G11">
        <v>15000</v>
      </c>
      <c r="H11">
        <v>25000</v>
      </c>
      <c r="I11" t="s">
        <v>118</v>
      </c>
      <c r="J11" t="s">
        <v>92</v>
      </c>
      <c r="K11" t="s">
        <v>81</v>
      </c>
      <c r="L11" t="s">
        <v>82</v>
      </c>
      <c r="M11" s="32">
        <v>0.09</v>
      </c>
      <c r="N11" t="s">
        <v>36</v>
      </c>
      <c r="O11" t="s">
        <v>37</v>
      </c>
      <c r="P11">
        <v>9800</v>
      </c>
      <c r="Q11">
        <v>30000</v>
      </c>
      <c r="R11">
        <v>20200</v>
      </c>
      <c r="S11" s="32">
        <v>0.67333333333333334</v>
      </c>
      <c r="T11">
        <v>2700</v>
      </c>
      <c r="U11" t="s">
        <v>303</v>
      </c>
    </row>
    <row r="12" spans="1:21" x14ac:dyDescent="0.25">
      <c r="A12" s="35" t="s">
        <v>129</v>
      </c>
      <c r="B12" s="47">
        <v>46031</v>
      </c>
      <c r="C12" s="35" t="s">
        <v>97</v>
      </c>
      <c r="D12" s="35" t="s">
        <v>55</v>
      </c>
      <c r="E12" s="35" t="s">
        <v>300</v>
      </c>
      <c r="F12" s="35">
        <v>3</v>
      </c>
      <c r="G12" s="35">
        <v>890</v>
      </c>
      <c r="H12" s="35">
        <v>2670</v>
      </c>
      <c r="I12" s="35" t="s">
        <v>301</v>
      </c>
      <c r="J12" s="35" t="s">
        <v>98</v>
      </c>
      <c r="K12" s="35" t="s">
        <v>77</v>
      </c>
      <c r="L12" s="35" t="s">
        <v>78</v>
      </c>
      <c r="M12" s="36">
        <v>0.1</v>
      </c>
      <c r="N12" s="35" t="s">
        <v>56</v>
      </c>
      <c r="O12" s="35" t="s">
        <v>51</v>
      </c>
      <c r="P12" s="35">
        <v>420</v>
      </c>
      <c r="Q12" s="35">
        <v>2670</v>
      </c>
      <c r="R12" s="35">
        <v>2250</v>
      </c>
      <c r="S12" s="36">
        <v>0.84269662921348309</v>
      </c>
      <c r="T12" s="35">
        <v>267</v>
      </c>
      <c r="U12" s="35" t="s">
        <v>303</v>
      </c>
    </row>
    <row r="13" spans="1:21" x14ac:dyDescent="0.25">
      <c r="A13" t="s">
        <v>132</v>
      </c>
      <c r="B13" s="46">
        <v>46031</v>
      </c>
      <c r="C13" t="s">
        <v>79</v>
      </c>
      <c r="D13" t="s">
        <v>57</v>
      </c>
      <c r="E13" t="s">
        <v>84</v>
      </c>
      <c r="F13">
        <v>1</v>
      </c>
      <c r="G13">
        <v>4800</v>
      </c>
      <c r="H13">
        <v>4800</v>
      </c>
      <c r="I13" t="s">
        <v>118</v>
      </c>
      <c r="J13" t="s">
        <v>80</v>
      </c>
      <c r="K13" t="s">
        <v>81</v>
      </c>
      <c r="L13" t="s">
        <v>82</v>
      </c>
      <c r="M13" s="32">
        <v>0.09</v>
      </c>
      <c r="N13" t="s">
        <v>58</v>
      </c>
      <c r="O13" t="s">
        <v>37</v>
      </c>
      <c r="P13">
        <v>2900</v>
      </c>
      <c r="Q13">
        <v>4800</v>
      </c>
      <c r="R13">
        <v>1900</v>
      </c>
      <c r="S13" s="32">
        <v>0.39583333333333331</v>
      </c>
      <c r="T13">
        <v>432</v>
      </c>
      <c r="U13" t="s">
        <v>303</v>
      </c>
    </row>
    <row r="14" spans="1:21" x14ac:dyDescent="0.25">
      <c r="A14" t="s">
        <v>133</v>
      </c>
      <c r="B14" s="46">
        <v>46031</v>
      </c>
      <c r="C14" t="s">
        <v>85</v>
      </c>
      <c r="D14" t="s">
        <v>63</v>
      </c>
      <c r="E14" t="s">
        <v>86</v>
      </c>
      <c r="F14">
        <v>10</v>
      </c>
      <c r="G14">
        <v>120</v>
      </c>
      <c r="H14">
        <v>1200</v>
      </c>
      <c r="I14" t="s">
        <v>118</v>
      </c>
      <c r="J14" t="s">
        <v>86</v>
      </c>
      <c r="K14" t="s">
        <v>77</v>
      </c>
      <c r="L14" t="s">
        <v>78</v>
      </c>
      <c r="M14" s="32">
        <v>0.1</v>
      </c>
      <c r="N14" t="s">
        <v>64</v>
      </c>
      <c r="O14" t="s">
        <v>51</v>
      </c>
      <c r="P14">
        <v>55</v>
      </c>
      <c r="Q14">
        <v>1200</v>
      </c>
      <c r="R14">
        <v>1145</v>
      </c>
      <c r="S14" s="32">
        <v>0.95416666666666672</v>
      </c>
      <c r="T14">
        <v>120</v>
      </c>
      <c r="U14" t="s">
        <v>303</v>
      </c>
    </row>
    <row r="15" spans="1:21" x14ac:dyDescent="0.25">
      <c r="A15" t="s">
        <v>135</v>
      </c>
      <c r="B15" s="46">
        <v>46032</v>
      </c>
      <c r="C15" t="s">
        <v>95</v>
      </c>
      <c r="D15" t="s">
        <v>61</v>
      </c>
      <c r="E15" t="s">
        <v>88</v>
      </c>
      <c r="F15">
        <v>1</v>
      </c>
      <c r="G15">
        <v>2800</v>
      </c>
      <c r="H15">
        <v>2800</v>
      </c>
      <c r="I15" t="s">
        <v>118</v>
      </c>
      <c r="J15" t="s">
        <v>96</v>
      </c>
      <c r="K15" t="s">
        <v>89</v>
      </c>
      <c r="L15" t="s">
        <v>90</v>
      </c>
      <c r="M15" s="32">
        <v>7.0000000000000007E-2</v>
      </c>
      <c r="N15" t="s">
        <v>62</v>
      </c>
      <c r="O15" t="s">
        <v>41</v>
      </c>
      <c r="P15">
        <v>1600</v>
      </c>
      <c r="Q15">
        <v>2800</v>
      </c>
      <c r="R15">
        <v>1200</v>
      </c>
      <c r="S15" s="32">
        <v>0.42857142857142855</v>
      </c>
      <c r="T15">
        <v>196.00000000000003</v>
      </c>
      <c r="U15" t="s">
        <v>303</v>
      </c>
    </row>
    <row r="16" spans="1:21" x14ac:dyDescent="0.25">
      <c r="A16" t="s">
        <v>137</v>
      </c>
      <c r="B16" s="46">
        <v>46032</v>
      </c>
      <c r="C16" t="s">
        <v>75</v>
      </c>
      <c r="D16" t="s">
        <v>47</v>
      </c>
      <c r="E16" t="s">
        <v>92</v>
      </c>
      <c r="F16">
        <v>4</v>
      </c>
      <c r="G16">
        <v>1200</v>
      </c>
      <c r="H16">
        <v>4800</v>
      </c>
      <c r="I16" t="s">
        <v>118</v>
      </c>
      <c r="J16" t="s">
        <v>76</v>
      </c>
      <c r="K16" t="s">
        <v>77</v>
      </c>
      <c r="L16" t="s">
        <v>78</v>
      </c>
      <c r="M16" s="32">
        <v>0.1</v>
      </c>
      <c r="N16" t="s">
        <v>48</v>
      </c>
      <c r="O16" t="s">
        <v>37</v>
      </c>
      <c r="P16">
        <v>620</v>
      </c>
      <c r="Q16">
        <v>4800</v>
      </c>
      <c r="R16">
        <v>4180</v>
      </c>
      <c r="S16" s="32">
        <v>0.87083333333333335</v>
      </c>
      <c r="T16">
        <v>480</v>
      </c>
      <c r="U16" t="s">
        <v>303</v>
      </c>
    </row>
    <row r="17" spans="1:21" x14ac:dyDescent="0.25">
      <c r="A17" t="s">
        <v>138</v>
      </c>
      <c r="B17" s="46">
        <v>46033</v>
      </c>
      <c r="C17" t="s">
        <v>93</v>
      </c>
      <c r="D17" t="s">
        <v>35</v>
      </c>
      <c r="E17" t="s">
        <v>128</v>
      </c>
      <c r="F17">
        <v>1</v>
      </c>
      <c r="G17">
        <v>15000</v>
      </c>
      <c r="H17">
        <v>15000</v>
      </c>
      <c r="I17" t="s">
        <v>118</v>
      </c>
      <c r="J17" t="s">
        <v>94</v>
      </c>
      <c r="K17" t="s">
        <v>73</v>
      </c>
      <c r="L17" t="s">
        <v>74</v>
      </c>
      <c r="M17" s="32">
        <v>0.08</v>
      </c>
      <c r="N17" t="s">
        <v>36</v>
      </c>
      <c r="O17" t="s">
        <v>37</v>
      </c>
      <c r="P17">
        <v>9800</v>
      </c>
      <c r="Q17">
        <v>15000</v>
      </c>
      <c r="R17">
        <v>5200</v>
      </c>
      <c r="S17" s="32">
        <v>0.34666666666666668</v>
      </c>
      <c r="T17">
        <v>1200</v>
      </c>
      <c r="U17" t="s">
        <v>303</v>
      </c>
    </row>
    <row r="18" spans="1:21" x14ac:dyDescent="0.25">
      <c r="A18" t="s">
        <v>141</v>
      </c>
      <c r="B18" s="46">
        <v>46034</v>
      </c>
      <c r="C18" t="s">
        <v>83</v>
      </c>
      <c r="D18" t="s">
        <v>45</v>
      </c>
      <c r="E18" t="s">
        <v>131</v>
      </c>
      <c r="F18">
        <v>1</v>
      </c>
      <c r="G18">
        <v>5500</v>
      </c>
      <c r="H18">
        <v>5500</v>
      </c>
      <c r="I18" t="s">
        <v>118</v>
      </c>
      <c r="J18" t="s">
        <v>84</v>
      </c>
      <c r="K18" t="s">
        <v>73</v>
      </c>
      <c r="L18" t="s">
        <v>74</v>
      </c>
      <c r="M18" s="32">
        <v>0.08</v>
      </c>
      <c r="N18" t="s">
        <v>46</v>
      </c>
      <c r="O18" t="s">
        <v>41</v>
      </c>
      <c r="P18">
        <v>3100</v>
      </c>
      <c r="Q18">
        <v>5500</v>
      </c>
      <c r="R18">
        <v>2400</v>
      </c>
      <c r="S18" s="32">
        <v>0.43636363636363634</v>
      </c>
      <c r="T18">
        <v>440</v>
      </c>
      <c r="U18" t="s">
        <v>303</v>
      </c>
    </row>
    <row r="19" spans="1:21" x14ac:dyDescent="0.25">
      <c r="A19" s="33" t="s">
        <v>143</v>
      </c>
      <c r="B19" s="48">
        <v>46034</v>
      </c>
      <c r="C19" s="33" t="s">
        <v>87</v>
      </c>
      <c r="D19" s="33" t="s">
        <v>53</v>
      </c>
      <c r="E19" s="33" t="s">
        <v>94</v>
      </c>
      <c r="F19" s="33">
        <v>-1</v>
      </c>
      <c r="G19" s="33">
        <v>2100</v>
      </c>
      <c r="H19" s="33"/>
      <c r="I19" s="33" t="s">
        <v>302</v>
      </c>
      <c r="J19" s="33" t="s">
        <v>88</v>
      </c>
      <c r="K19" s="33" t="s">
        <v>89</v>
      </c>
      <c r="L19" s="33" t="s">
        <v>90</v>
      </c>
      <c r="M19" s="34">
        <v>7.0000000000000007E-2</v>
      </c>
      <c r="N19" s="33" t="s">
        <v>54</v>
      </c>
      <c r="O19" s="33" t="s">
        <v>37</v>
      </c>
      <c r="P19" s="33">
        <v>1100</v>
      </c>
      <c r="Q19" s="33">
        <v>-2100</v>
      </c>
      <c r="R19" s="33">
        <v>-3200</v>
      </c>
      <c r="S19" s="34">
        <v>1.5238095238095237</v>
      </c>
      <c r="T19" s="33">
        <v>-147</v>
      </c>
      <c r="U19" s="33" t="s">
        <v>304</v>
      </c>
    </row>
    <row r="20" spans="1:21" x14ac:dyDescent="0.25">
      <c r="A20" s="35" t="s">
        <v>145</v>
      </c>
      <c r="B20" s="47">
        <v>46035</v>
      </c>
      <c r="C20" s="35" t="s">
        <v>71</v>
      </c>
      <c r="D20" s="35" t="s">
        <v>49</v>
      </c>
      <c r="E20" s="35" t="s">
        <v>300</v>
      </c>
      <c r="F20" s="35">
        <v>15</v>
      </c>
      <c r="G20" s="35">
        <v>350</v>
      </c>
      <c r="H20" s="35">
        <v>5250</v>
      </c>
      <c r="I20" s="35" t="s">
        <v>118</v>
      </c>
      <c r="J20" s="35" t="s">
        <v>72</v>
      </c>
      <c r="K20" s="35" t="s">
        <v>73</v>
      </c>
      <c r="L20" s="35" t="s">
        <v>74</v>
      </c>
      <c r="M20" s="36">
        <v>0.08</v>
      </c>
      <c r="N20" s="35" t="s">
        <v>50</v>
      </c>
      <c r="O20" s="35" t="s">
        <v>51</v>
      </c>
      <c r="P20" s="35">
        <v>140</v>
      </c>
      <c r="Q20" s="35">
        <v>5250</v>
      </c>
      <c r="R20" s="35">
        <v>5110</v>
      </c>
      <c r="S20" s="36">
        <v>0.97333333333333338</v>
      </c>
      <c r="T20" s="35">
        <v>420</v>
      </c>
      <c r="U20" s="35" t="s">
        <v>303</v>
      </c>
    </row>
    <row r="21" spans="1:21" x14ac:dyDescent="0.25">
      <c r="A21" t="s">
        <v>147</v>
      </c>
      <c r="B21" s="46">
        <v>46035</v>
      </c>
      <c r="C21" t="s">
        <v>148</v>
      </c>
      <c r="D21" t="s">
        <v>43</v>
      </c>
      <c r="E21" t="s">
        <v>98</v>
      </c>
      <c r="F21">
        <v>2</v>
      </c>
      <c r="G21">
        <v>1800</v>
      </c>
      <c r="H21">
        <v>3600</v>
      </c>
      <c r="I21" t="s">
        <v>118</v>
      </c>
      <c r="J21" t="s">
        <v>88</v>
      </c>
      <c r="K21" t="s">
        <v>89</v>
      </c>
      <c r="L21" t="s">
        <v>90</v>
      </c>
      <c r="M21" s="32">
        <v>7.0000000000000007E-2</v>
      </c>
      <c r="N21" t="s">
        <v>44</v>
      </c>
      <c r="O21" t="s">
        <v>37</v>
      </c>
      <c r="P21">
        <v>950</v>
      </c>
      <c r="Q21">
        <v>3600</v>
      </c>
      <c r="R21">
        <v>2650</v>
      </c>
      <c r="S21" s="32">
        <v>0.73611111111111116</v>
      </c>
      <c r="T21">
        <v>252.00000000000003</v>
      </c>
      <c r="U21" t="s">
        <v>303</v>
      </c>
    </row>
    <row r="22" spans="1:21" x14ac:dyDescent="0.25">
      <c r="A22" t="s">
        <v>149</v>
      </c>
      <c r="B22" s="46">
        <v>46036</v>
      </c>
      <c r="C22" t="s">
        <v>97</v>
      </c>
      <c r="D22" t="s">
        <v>57</v>
      </c>
      <c r="E22" t="s">
        <v>96</v>
      </c>
      <c r="F22">
        <v>3</v>
      </c>
      <c r="G22">
        <v>4800</v>
      </c>
      <c r="H22">
        <v>14400</v>
      </c>
      <c r="I22" t="s">
        <v>118</v>
      </c>
      <c r="J22" t="s">
        <v>98</v>
      </c>
      <c r="K22" t="s">
        <v>77</v>
      </c>
      <c r="L22" t="s">
        <v>78</v>
      </c>
      <c r="M22" s="32">
        <v>0.1</v>
      </c>
      <c r="N22" t="s">
        <v>58</v>
      </c>
      <c r="O22" t="s">
        <v>37</v>
      </c>
      <c r="P22">
        <v>2900</v>
      </c>
      <c r="Q22">
        <v>14400</v>
      </c>
      <c r="R22">
        <v>11500</v>
      </c>
      <c r="S22" s="32">
        <v>0.79861111111111116</v>
      </c>
      <c r="T22">
        <v>1440</v>
      </c>
      <c r="U22" t="s">
        <v>303</v>
      </c>
    </row>
    <row r="23" spans="1:21" x14ac:dyDescent="0.25">
      <c r="A23" t="s">
        <v>151</v>
      </c>
      <c r="B23" s="46">
        <v>46037</v>
      </c>
      <c r="C23" t="s">
        <v>91</v>
      </c>
      <c r="D23" t="s">
        <v>39</v>
      </c>
      <c r="E23" t="s">
        <v>76</v>
      </c>
      <c r="F23">
        <v>2</v>
      </c>
      <c r="G23">
        <v>3200</v>
      </c>
      <c r="H23">
        <v>6400</v>
      </c>
      <c r="I23" t="s">
        <v>153</v>
      </c>
      <c r="J23" t="s">
        <v>92</v>
      </c>
      <c r="K23" t="s">
        <v>81</v>
      </c>
      <c r="L23" t="s">
        <v>82</v>
      </c>
      <c r="M23" s="32">
        <v>0.09</v>
      </c>
      <c r="N23" t="s">
        <v>40</v>
      </c>
      <c r="O23" t="s">
        <v>41</v>
      </c>
      <c r="P23">
        <v>1750</v>
      </c>
      <c r="Q23">
        <v>6400</v>
      </c>
      <c r="R23">
        <v>4650</v>
      </c>
      <c r="S23" s="32">
        <v>0.7265625</v>
      </c>
      <c r="T23">
        <v>576</v>
      </c>
      <c r="U23" t="s">
        <v>303</v>
      </c>
    </row>
    <row r="24" spans="1:21" x14ac:dyDescent="0.25">
      <c r="A24" t="s">
        <v>154</v>
      </c>
      <c r="B24" s="46">
        <v>46037</v>
      </c>
      <c r="C24" t="s">
        <v>79</v>
      </c>
      <c r="D24" t="s">
        <v>59</v>
      </c>
      <c r="E24" t="s">
        <v>140</v>
      </c>
      <c r="F24">
        <v>6</v>
      </c>
      <c r="G24">
        <v>650</v>
      </c>
      <c r="H24">
        <v>3900</v>
      </c>
      <c r="I24" t="s">
        <v>118</v>
      </c>
      <c r="J24" t="s">
        <v>80</v>
      </c>
      <c r="K24" t="s">
        <v>81</v>
      </c>
      <c r="L24" t="s">
        <v>82</v>
      </c>
      <c r="M24" s="32">
        <v>0.09</v>
      </c>
      <c r="N24" t="s">
        <v>60</v>
      </c>
      <c r="O24" t="s">
        <v>37</v>
      </c>
      <c r="P24">
        <v>310</v>
      </c>
      <c r="Q24">
        <v>3900</v>
      </c>
      <c r="R24">
        <v>3590</v>
      </c>
      <c r="S24" s="32">
        <v>0.92051282051282046</v>
      </c>
      <c r="T24">
        <v>351</v>
      </c>
      <c r="U24" t="s">
        <v>303</v>
      </c>
    </row>
    <row r="25" spans="1:21" x14ac:dyDescent="0.25">
      <c r="A25" t="s">
        <v>156</v>
      </c>
      <c r="B25" s="46">
        <v>46038</v>
      </c>
      <c r="C25" t="s">
        <v>85</v>
      </c>
      <c r="D25" t="s">
        <v>61</v>
      </c>
      <c r="E25" t="s">
        <v>84</v>
      </c>
      <c r="F25">
        <v>1</v>
      </c>
      <c r="G25">
        <v>2800</v>
      </c>
      <c r="H25">
        <v>2800</v>
      </c>
      <c r="I25" t="s">
        <v>118</v>
      </c>
      <c r="J25" t="s">
        <v>86</v>
      </c>
      <c r="K25" t="s">
        <v>77</v>
      </c>
      <c r="L25" t="s">
        <v>78</v>
      </c>
      <c r="M25" s="32">
        <v>0.1</v>
      </c>
      <c r="N25" t="s">
        <v>62</v>
      </c>
      <c r="O25" t="s">
        <v>41</v>
      </c>
      <c r="P25">
        <v>1600</v>
      </c>
      <c r="Q25">
        <v>2800</v>
      </c>
      <c r="R25">
        <v>1200</v>
      </c>
      <c r="S25" s="32">
        <v>0.42857142857142855</v>
      </c>
      <c r="T25">
        <v>280</v>
      </c>
      <c r="U25" t="s">
        <v>303</v>
      </c>
    </row>
    <row r="26" spans="1:21" x14ac:dyDescent="0.25">
      <c r="A26" t="s">
        <v>158</v>
      </c>
      <c r="B26" s="46">
        <v>46038</v>
      </c>
      <c r="C26" t="s">
        <v>93</v>
      </c>
      <c r="D26" t="s">
        <v>35</v>
      </c>
      <c r="E26" t="s">
        <v>86</v>
      </c>
      <c r="F26">
        <v>2</v>
      </c>
      <c r="G26">
        <v>15000</v>
      </c>
      <c r="H26">
        <v>28000</v>
      </c>
      <c r="I26" t="s">
        <v>118</v>
      </c>
      <c r="J26" t="s">
        <v>94</v>
      </c>
      <c r="K26" t="s">
        <v>73</v>
      </c>
      <c r="L26" t="s">
        <v>74</v>
      </c>
      <c r="M26" s="32">
        <v>0.08</v>
      </c>
      <c r="N26" t="s">
        <v>36</v>
      </c>
      <c r="O26" t="s">
        <v>37</v>
      </c>
      <c r="P26">
        <v>9800</v>
      </c>
      <c r="Q26">
        <v>30000</v>
      </c>
      <c r="R26">
        <v>20200</v>
      </c>
      <c r="S26" s="32">
        <v>0.67333333333333334</v>
      </c>
      <c r="T26">
        <v>2400</v>
      </c>
      <c r="U26" t="s">
        <v>303</v>
      </c>
    </row>
    <row r="27" spans="1:21" x14ac:dyDescent="0.25">
      <c r="A27" t="s">
        <v>159</v>
      </c>
      <c r="B27" s="46">
        <v>46039</v>
      </c>
      <c r="C27" t="s">
        <v>75</v>
      </c>
      <c r="D27" t="s">
        <v>55</v>
      </c>
      <c r="E27" t="s">
        <v>88</v>
      </c>
      <c r="F27">
        <v>4</v>
      </c>
      <c r="G27">
        <v>890</v>
      </c>
      <c r="H27">
        <v>3560</v>
      </c>
      <c r="I27" t="s">
        <v>118</v>
      </c>
      <c r="J27" t="s">
        <v>76</v>
      </c>
      <c r="K27" t="s">
        <v>77</v>
      </c>
      <c r="L27" t="s">
        <v>78</v>
      </c>
      <c r="M27" s="32">
        <v>0.1</v>
      </c>
      <c r="N27" t="s">
        <v>56</v>
      </c>
      <c r="O27" t="s">
        <v>51</v>
      </c>
      <c r="P27">
        <v>420</v>
      </c>
      <c r="Q27">
        <v>3560</v>
      </c>
      <c r="R27">
        <v>3140</v>
      </c>
      <c r="S27" s="32">
        <v>0.8820224719101124</v>
      </c>
      <c r="T27">
        <v>356</v>
      </c>
      <c r="U27" t="s">
        <v>303</v>
      </c>
    </row>
    <row r="28" spans="1:21" x14ac:dyDescent="0.25">
      <c r="A28" t="s">
        <v>161</v>
      </c>
      <c r="B28" s="46">
        <v>46041</v>
      </c>
      <c r="C28" t="s">
        <v>95</v>
      </c>
      <c r="D28" t="s">
        <v>49</v>
      </c>
      <c r="E28" t="s">
        <v>92</v>
      </c>
      <c r="F28">
        <v>20</v>
      </c>
      <c r="G28">
        <v>350</v>
      </c>
      <c r="H28">
        <v>7000</v>
      </c>
      <c r="I28" t="s">
        <v>118</v>
      </c>
      <c r="J28" t="s">
        <v>96</v>
      </c>
      <c r="K28" t="s">
        <v>89</v>
      </c>
      <c r="L28" t="s">
        <v>90</v>
      </c>
      <c r="M28" s="32">
        <v>7.0000000000000007E-2</v>
      </c>
      <c r="N28" t="s">
        <v>50</v>
      </c>
      <c r="O28" t="s">
        <v>51</v>
      </c>
      <c r="P28">
        <v>140</v>
      </c>
      <c r="Q28">
        <v>7000</v>
      </c>
      <c r="R28">
        <v>6860</v>
      </c>
      <c r="S28" s="32">
        <v>0.98</v>
      </c>
      <c r="T28">
        <v>490.00000000000006</v>
      </c>
      <c r="U28" t="s">
        <v>303</v>
      </c>
    </row>
    <row r="29" spans="1:21" x14ac:dyDescent="0.25">
      <c r="A29" t="s">
        <v>163</v>
      </c>
      <c r="B29" s="46">
        <v>46041</v>
      </c>
      <c r="C29" t="s">
        <v>71</v>
      </c>
      <c r="D29" t="s">
        <v>47</v>
      </c>
      <c r="E29" t="s">
        <v>128</v>
      </c>
      <c r="F29">
        <v>2</v>
      </c>
      <c r="G29">
        <v>1200</v>
      </c>
      <c r="H29">
        <v>2400</v>
      </c>
      <c r="I29" t="s">
        <v>118</v>
      </c>
      <c r="J29" t="s">
        <v>72</v>
      </c>
      <c r="K29" t="s">
        <v>73</v>
      </c>
      <c r="L29" t="s">
        <v>74</v>
      </c>
      <c r="M29" s="32">
        <v>0.08</v>
      </c>
      <c r="N29" t="s">
        <v>48</v>
      </c>
      <c r="O29" t="s">
        <v>37</v>
      </c>
      <c r="P29">
        <v>620</v>
      </c>
      <c r="Q29">
        <v>2400</v>
      </c>
      <c r="R29">
        <v>1780</v>
      </c>
      <c r="S29" s="32">
        <v>0.7416666666666667</v>
      </c>
      <c r="T29">
        <v>192</v>
      </c>
      <c r="U29" t="s">
        <v>303</v>
      </c>
    </row>
    <row r="30" spans="1:21" x14ac:dyDescent="0.25">
      <c r="A30" s="33" t="s">
        <v>165</v>
      </c>
      <c r="B30" s="48">
        <v>46042</v>
      </c>
      <c r="C30" s="33" t="s">
        <v>83</v>
      </c>
      <c r="D30" s="33" t="s">
        <v>57</v>
      </c>
      <c r="E30" s="33" t="s">
        <v>131</v>
      </c>
      <c r="F30" s="33">
        <v>1</v>
      </c>
      <c r="G30" s="33">
        <v>4800</v>
      </c>
      <c r="H30" s="33" t="s">
        <v>167</v>
      </c>
      <c r="I30" s="33" t="s">
        <v>118</v>
      </c>
      <c r="J30" s="33" t="s">
        <v>84</v>
      </c>
      <c r="K30" s="33" t="s">
        <v>73</v>
      </c>
      <c r="L30" s="33" t="s">
        <v>74</v>
      </c>
      <c r="M30" s="34">
        <v>0.08</v>
      </c>
      <c r="N30" s="33" t="s">
        <v>58</v>
      </c>
      <c r="O30" s="33" t="s">
        <v>37</v>
      </c>
      <c r="P30" s="33">
        <v>2900</v>
      </c>
      <c r="Q30" s="33">
        <v>4800</v>
      </c>
      <c r="R30" s="33">
        <v>1900</v>
      </c>
      <c r="S30" s="34">
        <v>0.39583333333333331</v>
      </c>
      <c r="T30" s="33">
        <v>384</v>
      </c>
      <c r="U30" s="33" t="s">
        <v>303</v>
      </c>
    </row>
    <row r="31" spans="1:21" x14ac:dyDescent="0.25">
      <c r="A31" t="s">
        <v>168</v>
      </c>
      <c r="B31" s="46">
        <v>46042</v>
      </c>
      <c r="C31" t="s">
        <v>91</v>
      </c>
      <c r="D31" t="s">
        <v>63</v>
      </c>
      <c r="E31" t="s">
        <v>94</v>
      </c>
      <c r="F31">
        <v>25</v>
      </c>
      <c r="G31">
        <v>120</v>
      </c>
      <c r="H31">
        <v>3000</v>
      </c>
      <c r="I31" t="s">
        <v>118</v>
      </c>
      <c r="J31" t="s">
        <v>92</v>
      </c>
      <c r="K31" t="s">
        <v>81</v>
      </c>
      <c r="L31" t="s">
        <v>82</v>
      </c>
      <c r="M31" s="32">
        <v>0.09</v>
      </c>
      <c r="N31" t="s">
        <v>64</v>
      </c>
      <c r="O31" t="s">
        <v>51</v>
      </c>
      <c r="P31">
        <v>55</v>
      </c>
      <c r="Q31">
        <v>3000</v>
      </c>
      <c r="R31">
        <v>2945</v>
      </c>
      <c r="S31" s="32">
        <v>0.98166666666666669</v>
      </c>
      <c r="T31">
        <v>270</v>
      </c>
      <c r="U31" t="s">
        <v>303</v>
      </c>
    </row>
    <row r="32" spans="1:21" x14ac:dyDescent="0.25">
      <c r="A32" t="s">
        <v>169</v>
      </c>
      <c r="B32" s="46">
        <v>46043</v>
      </c>
      <c r="C32" t="s">
        <v>97</v>
      </c>
      <c r="D32" t="s">
        <v>53</v>
      </c>
      <c r="E32" t="s">
        <v>98</v>
      </c>
      <c r="F32">
        <v>2</v>
      </c>
      <c r="G32">
        <v>2100</v>
      </c>
      <c r="H32">
        <v>4200</v>
      </c>
      <c r="I32" t="s">
        <v>118</v>
      </c>
      <c r="J32" t="s">
        <v>98</v>
      </c>
      <c r="K32" t="s">
        <v>77</v>
      </c>
      <c r="L32" t="s">
        <v>78</v>
      </c>
      <c r="M32" s="32">
        <v>0.1</v>
      </c>
      <c r="N32" t="s">
        <v>54</v>
      </c>
      <c r="O32" t="s">
        <v>37</v>
      </c>
      <c r="P32">
        <v>1100</v>
      </c>
      <c r="Q32">
        <v>4200</v>
      </c>
      <c r="R32">
        <v>3100</v>
      </c>
      <c r="S32" s="32">
        <v>0.73809523809523814</v>
      </c>
      <c r="T32">
        <v>420</v>
      </c>
      <c r="U32" t="s">
        <v>303</v>
      </c>
    </row>
    <row r="33" spans="1:21" x14ac:dyDescent="0.25">
      <c r="A33" t="s">
        <v>171</v>
      </c>
      <c r="B33" s="46">
        <v>46056</v>
      </c>
      <c r="C33" t="s">
        <v>79</v>
      </c>
      <c r="D33" t="s">
        <v>35</v>
      </c>
      <c r="E33" t="s">
        <v>96</v>
      </c>
      <c r="F33">
        <v>1</v>
      </c>
      <c r="G33">
        <v>15000</v>
      </c>
      <c r="H33">
        <v>15000</v>
      </c>
      <c r="I33" t="s">
        <v>118</v>
      </c>
      <c r="J33" t="s">
        <v>80</v>
      </c>
      <c r="K33" t="s">
        <v>81</v>
      </c>
      <c r="L33" t="s">
        <v>82</v>
      </c>
      <c r="M33" s="32">
        <v>0.09</v>
      </c>
      <c r="N33" t="s">
        <v>36</v>
      </c>
      <c r="O33" t="s">
        <v>37</v>
      </c>
      <c r="P33">
        <v>9800</v>
      </c>
      <c r="Q33">
        <v>15000</v>
      </c>
      <c r="R33">
        <v>5200</v>
      </c>
      <c r="S33" s="32">
        <v>0.34666666666666668</v>
      </c>
      <c r="T33">
        <v>1350</v>
      </c>
      <c r="U33" t="s">
        <v>303</v>
      </c>
    </row>
    <row r="34" spans="1:21" x14ac:dyDescent="0.25">
      <c r="A34" s="35" t="s">
        <v>173</v>
      </c>
      <c r="B34" s="47">
        <v>46056</v>
      </c>
      <c r="C34" s="35" t="s">
        <v>87</v>
      </c>
      <c r="D34" s="35" t="s">
        <v>45</v>
      </c>
      <c r="E34" s="35" t="s">
        <v>300</v>
      </c>
      <c r="F34" s="35">
        <v>2</v>
      </c>
      <c r="G34" s="35">
        <v>5500</v>
      </c>
      <c r="H34" s="35">
        <v>11000</v>
      </c>
      <c r="I34" s="35" t="s">
        <v>118</v>
      </c>
      <c r="J34" s="35" t="s">
        <v>88</v>
      </c>
      <c r="K34" s="35" t="s">
        <v>89</v>
      </c>
      <c r="L34" s="35" t="s">
        <v>90</v>
      </c>
      <c r="M34" s="36">
        <v>7.0000000000000007E-2</v>
      </c>
      <c r="N34" s="35" t="s">
        <v>46</v>
      </c>
      <c r="O34" s="35" t="s">
        <v>41</v>
      </c>
      <c r="P34" s="35">
        <v>3100</v>
      </c>
      <c r="Q34" s="35">
        <v>11000</v>
      </c>
      <c r="R34" s="35">
        <v>7900</v>
      </c>
      <c r="S34" s="36">
        <v>0.71818181818181814</v>
      </c>
      <c r="T34" s="35">
        <v>770.00000000000011</v>
      </c>
      <c r="U34" s="35" t="s">
        <v>303</v>
      </c>
    </row>
    <row r="35" spans="1:21" x14ac:dyDescent="0.25">
      <c r="A35" t="s">
        <v>175</v>
      </c>
      <c r="B35" s="46">
        <v>46057</v>
      </c>
      <c r="C35" t="s">
        <v>71</v>
      </c>
      <c r="D35" t="s">
        <v>43</v>
      </c>
      <c r="E35" t="s">
        <v>76</v>
      </c>
      <c r="F35">
        <v>3</v>
      </c>
      <c r="G35">
        <v>1800</v>
      </c>
      <c r="H35">
        <v>5400</v>
      </c>
      <c r="I35" t="s">
        <v>118</v>
      </c>
      <c r="J35" t="s">
        <v>72</v>
      </c>
      <c r="K35" t="s">
        <v>73</v>
      </c>
      <c r="L35" t="s">
        <v>74</v>
      </c>
      <c r="M35" s="32">
        <v>0.08</v>
      </c>
      <c r="N35" t="s">
        <v>44</v>
      </c>
      <c r="O35" t="s">
        <v>37</v>
      </c>
      <c r="P35">
        <v>950</v>
      </c>
      <c r="Q35">
        <v>5400</v>
      </c>
      <c r="R35">
        <v>4450</v>
      </c>
      <c r="S35" s="32">
        <v>0.82407407407407407</v>
      </c>
      <c r="T35">
        <v>432</v>
      </c>
      <c r="U35" t="s">
        <v>303</v>
      </c>
    </row>
    <row r="36" spans="1:21" x14ac:dyDescent="0.25">
      <c r="A36" t="s">
        <v>177</v>
      </c>
      <c r="B36" s="46">
        <v>46057</v>
      </c>
      <c r="C36" t="s">
        <v>85</v>
      </c>
      <c r="D36" t="s">
        <v>55</v>
      </c>
      <c r="E36" t="s">
        <v>140</v>
      </c>
      <c r="F36">
        <v>5</v>
      </c>
      <c r="G36">
        <v>890</v>
      </c>
      <c r="H36">
        <v>4450</v>
      </c>
      <c r="I36" t="s">
        <v>118</v>
      </c>
      <c r="J36" t="s">
        <v>86</v>
      </c>
      <c r="K36" t="s">
        <v>77</v>
      </c>
      <c r="L36" t="s">
        <v>78</v>
      </c>
      <c r="M36" s="32">
        <v>0.1</v>
      </c>
      <c r="N36" t="s">
        <v>56</v>
      </c>
      <c r="O36" t="s">
        <v>51</v>
      </c>
      <c r="P36">
        <v>420</v>
      </c>
      <c r="Q36">
        <v>4450</v>
      </c>
      <c r="R36">
        <v>4030</v>
      </c>
      <c r="S36" s="32">
        <v>0.90561797752808992</v>
      </c>
      <c r="T36">
        <v>445</v>
      </c>
      <c r="U36" t="s">
        <v>303</v>
      </c>
    </row>
    <row r="37" spans="1:21" x14ac:dyDescent="0.25">
      <c r="A37" t="s">
        <v>178</v>
      </c>
      <c r="B37" s="46">
        <v>46058</v>
      </c>
      <c r="C37" t="s">
        <v>93</v>
      </c>
      <c r="D37" t="s">
        <v>57</v>
      </c>
      <c r="E37" t="s">
        <v>84</v>
      </c>
      <c r="F37">
        <v>2</v>
      </c>
      <c r="G37">
        <v>4800</v>
      </c>
      <c r="H37">
        <v>9600</v>
      </c>
      <c r="I37" t="s">
        <v>118</v>
      </c>
      <c r="J37" t="s">
        <v>94</v>
      </c>
      <c r="K37" t="s">
        <v>73</v>
      </c>
      <c r="L37" t="s">
        <v>74</v>
      </c>
      <c r="M37" s="32">
        <v>0.08</v>
      </c>
      <c r="N37" t="s">
        <v>58</v>
      </c>
      <c r="O37" t="s">
        <v>37</v>
      </c>
      <c r="P37">
        <v>2900</v>
      </c>
      <c r="Q37">
        <v>9600</v>
      </c>
      <c r="R37">
        <v>6700</v>
      </c>
      <c r="S37" s="32">
        <v>0.69791666666666663</v>
      </c>
      <c r="T37">
        <v>768</v>
      </c>
      <c r="U37" t="s">
        <v>303</v>
      </c>
    </row>
    <row r="38" spans="1:21" x14ac:dyDescent="0.25">
      <c r="A38" t="s">
        <v>180</v>
      </c>
      <c r="B38" s="46">
        <v>46058</v>
      </c>
      <c r="C38" t="s">
        <v>75</v>
      </c>
      <c r="D38" t="s">
        <v>49</v>
      </c>
      <c r="E38" t="s">
        <v>86</v>
      </c>
      <c r="F38">
        <v>12</v>
      </c>
      <c r="G38">
        <v>350</v>
      </c>
      <c r="H38">
        <v>4200</v>
      </c>
      <c r="I38" t="s">
        <v>118</v>
      </c>
      <c r="J38" t="s">
        <v>76</v>
      </c>
      <c r="K38" t="s">
        <v>77</v>
      </c>
      <c r="L38" t="s">
        <v>78</v>
      </c>
      <c r="M38" s="32">
        <v>0.1</v>
      </c>
      <c r="N38" t="s">
        <v>50</v>
      </c>
      <c r="O38" t="s">
        <v>51</v>
      </c>
      <c r="P38">
        <v>140</v>
      </c>
      <c r="Q38">
        <v>4200</v>
      </c>
      <c r="R38">
        <v>4060</v>
      </c>
      <c r="S38" s="32">
        <v>0.96666666666666667</v>
      </c>
      <c r="T38">
        <v>420</v>
      </c>
      <c r="U38" t="s">
        <v>303</v>
      </c>
    </row>
    <row r="39" spans="1:21" x14ac:dyDescent="0.25">
      <c r="A39" t="s">
        <v>181</v>
      </c>
      <c r="B39" s="46">
        <v>46058</v>
      </c>
      <c r="C39" t="s">
        <v>95</v>
      </c>
      <c r="D39" t="s">
        <v>35</v>
      </c>
      <c r="E39" t="s">
        <v>88</v>
      </c>
      <c r="F39">
        <v>1</v>
      </c>
      <c r="G39">
        <v>15000</v>
      </c>
      <c r="H39">
        <v>15000</v>
      </c>
      <c r="I39" t="s">
        <v>118</v>
      </c>
      <c r="J39" t="s">
        <v>96</v>
      </c>
      <c r="K39" t="s">
        <v>89</v>
      </c>
      <c r="L39" t="s">
        <v>90</v>
      </c>
      <c r="M39" s="32">
        <v>7.0000000000000007E-2</v>
      </c>
      <c r="N39" t="s">
        <v>36</v>
      </c>
      <c r="O39" t="s">
        <v>37</v>
      </c>
      <c r="P39">
        <v>9800</v>
      </c>
      <c r="Q39">
        <v>15000</v>
      </c>
      <c r="R39">
        <v>5200</v>
      </c>
      <c r="S39" s="32">
        <v>0.34666666666666668</v>
      </c>
      <c r="T39">
        <v>1050</v>
      </c>
      <c r="U39" t="s">
        <v>303</v>
      </c>
    </row>
    <row r="40" spans="1:21" x14ac:dyDescent="0.25">
      <c r="A40" t="s">
        <v>183</v>
      </c>
      <c r="B40" s="46">
        <v>46059</v>
      </c>
      <c r="C40" t="s">
        <v>91</v>
      </c>
      <c r="D40" t="s">
        <v>61</v>
      </c>
      <c r="E40" t="s">
        <v>92</v>
      </c>
      <c r="F40">
        <v>3</v>
      </c>
      <c r="G40">
        <v>2800</v>
      </c>
      <c r="H40">
        <v>8400</v>
      </c>
      <c r="I40" t="s">
        <v>118</v>
      </c>
      <c r="J40" t="s">
        <v>92</v>
      </c>
      <c r="K40" t="s">
        <v>81</v>
      </c>
      <c r="L40" t="s">
        <v>82</v>
      </c>
      <c r="M40" s="32">
        <v>0.09</v>
      </c>
      <c r="N40" t="s">
        <v>62</v>
      </c>
      <c r="O40" t="s">
        <v>41</v>
      </c>
      <c r="P40">
        <v>1600</v>
      </c>
      <c r="Q40">
        <v>8400</v>
      </c>
      <c r="R40">
        <v>6800</v>
      </c>
      <c r="S40" s="32">
        <v>0.80952380952380953</v>
      </c>
      <c r="T40">
        <v>756</v>
      </c>
      <c r="U40" t="s">
        <v>303</v>
      </c>
    </row>
    <row r="41" spans="1:21" x14ac:dyDescent="0.25">
      <c r="A41" t="s">
        <v>185</v>
      </c>
      <c r="B41" s="46">
        <v>46060</v>
      </c>
      <c r="C41" t="s">
        <v>83</v>
      </c>
      <c r="D41" t="s">
        <v>47</v>
      </c>
      <c r="E41" t="s">
        <v>128</v>
      </c>
      <c r="F41">
        <v>4</v>
      </c>
      <c r="G41">
        <v>1200</v>
      </c>
      <c r="H41">
        <v>4800</v>
      </c>
      <c r="I41" t="s">
        <v>118</v>
      </c>
      <c r="J41" t="s">
        <v>84</v>
      </c>
      <c r="K41" t="s">
        <v>73</v>
      </c>
      <c r="L41" t="s">
        <v>74</v>
      </c>
      <c r="M41" s="32">
        <v>0.08</v>
      </c>
      <c r="N41" t="s">
        <v>48</v>
      </c>
      <c r="O41" t="s">
        <v>37</v>
      </c>
      <c r="P41">
        <v>620</v>
      </c>
      <c r="Q41">
        <v>4800</v>
      </c>
      <c r="R41">
        <v>4180</v>
      </c>
      <c r="S41" s="32">
        <v>0.87083333333333335</v>
      </c>
      <c r="T41">
        <v>384</v>
      </c>
      <c r="U41" t="s">
        <v>303</v>
      </c>
    </row>
    <row r="42" spans="1:21" x14ac:dyDescent="0.25">
      <c r="A42" t="s">
        <v>187</v>
      </c>
      <c r="B42" s="46">
        <v>46060</v>
      </c>
      <c r="C42" t="s">
        <v>97</v>
      </c>
      <c r="D42" t="s">
        <v>39</v>
      </c>
      <c r="E42" t="s">
        <v>131</v>
      </c>
      <c r="F42">
        <v>1</v>
      </c>
      <c r="G42">
        <v>3200</v>
      </c>
      <c r="H42">
        <v>3200</v>
      </c>
      <c r="I42" t="s">
        <v>153</v>
      </c>
      <c r="J42" t="s">
        <v>98</v>
      </c>
      <c r="K42" t="s">
        <v>77</v>
      </c>
      <c r="L42" t="s">
        <v>78</v>
      </c>
      <c r="M42" s="32">
        <v>0.1</v>
      </c>
      <c r="N42" t="s">
        <v>40</v>
      </c>
      <c r="O42" t="s">
        <v>41</v>
      </c>
      <c r="P42">
        <v>1750</v>
      </c>
      <c r="Q42">
        <v>3200</v>
      </c>
      <c r="R42">
        <v>1450</v>
      </c>
      <c r="S42" s="32">
        <v>0.453125</v>
      </c>
      <c r="T42">
        <v>320</v>
      </c>
      <c r="U42" t="s">
        <v>303</v>
      </c>
    </row>
    <row r="43" spans="1:21" x14ac:dyDescent="0.25">
      <c r="A43" s="35" t="s">
        <v>188</v>
      </c>
      <c r="B43" s="47">
        <v>46063</v>
      </c>
      <c r="C43" s="35" t="s">
        <v>79</v>
      </c>
      <c r="D43" s="35" t="s">
        <v>59</v>
      </c>
      <c r="E43" s="35" t="s">
        <v>300</v>
      </c>
      <c r="F43" s="35">
        <v>4</v>
      </c>
      <c r="G43" s="35">
        <v>650</v>
      </c>
      <c r="H43" s="35">
        <v>2600</v>
      </c>
      <c r="I43" s="35" t="s">
        <v>118</v>
      </c>
      <c r="J43" s="35" t="s">
        <v>80</v>
      </c>
      <c r="K43" s="35" t="s">
        <v>81</v>
      </c>
      <c r="L43" s="35" t="s">
        <v>82</v>
      </c>
      <c r="M43" s="36">
        <v>0.09</v>
      </c>
      <c r="N43" s="35" t="s">
        <v>60</v>
      </c>
      <c r="O43" s="35" t="s">
        <v>37</v>
      </c>
      <c r="P43" s="35">
        <v>310</v>
      </c>
      <c r="Q43" s="35">
        <v>2600</v>
      </c>
      <c r="R43" s="35">
        <v>2290</v>
      </c>
      <c r="S43" s="36">
        <v>0.88076923076923075</v>
      </c>
      <c r="T43" s="35">
        <v>234</v>
      </c>
      <c r="U43" s="35" t="s">
        <v>303</v>
      </c>
    </row>
    <row r="44" spans="1:21" x14ac:dyDescent="0.25">
      <c r="A44" t="s">
        <v>190</v>
      </c>
      <c r="B44" s="46">
        <v>46063</v>
      </c>
      <c r="C44" t="s">
        <v>71</v>
      </c>
      <c r="D44" t="s">
        <v>53</v>
      </c>
      <c r="E44" t="s">
        <v>98</v>
      </c>
      <c r="F44">
        <v>3</v>
      </c>
      <c r="G44">
        <v>2100</v>
      </c>
      <c r="H44">
        <v>6300</v>
      </c>
      <c r="I44" t="s">
        <v>118</v>
      </c>
      <c r="J44" t="s">
        <v>72</v>
      </c>
      <c r="K44" t="s">
        <v>73</v>
      </c>
      <c r="L44" t="s">
        <v>74</v>
      </c>
      <c r="M44" s="32">
        <v>0.08</v>
      </c>
      <c r="N44" t="s">
        <v>54</v>
      </c>
      <c r="O44" t="s">
        <v>37</v>
      </c>
      <c r="P44">
        <v>1100</v>
      </c>
      <c r="Q44">
        <v>6300</v>
      </c>
      <c r="R44">
        <v>5200</v>
      </c>
      <c r="S44" s="32">
        <v>0.82539682539682535</v>
      </c>
      <c r="T44">
        <v>504</v>
      </c>
      <c r="U44" t="s">
        <v>303</v>
      </c>
    </row>
    <row r="45" spans="1:21" x14ac:dyDescent="0.25">
      <c r="A45" t="s">
        <v>192</v>
      </c>
      <c r="B45" s="46">
        <v>46064</v>
      </c>
      <c r="C45" t="s">
        <v>87</v>
      </c>
      <c r="D45" t="s">
        <v>63</v>
      </c>
      <c r="E45" t="s">
        <v>96</v>
      </c>
      <c r="F45">
        <v>30</v>
      </c>
      <c r="G45">
        <v>120</v>
      </c>
      <c r="H45">
        <v>3600</v>
      </c>
      <c r="I45" t="s">
        <v>118</v>
      </c>
      <c r="J45" t="s">
        <v>88</v>
      </c>
      <c r="K45" t="s">
        <v>89</v>
      </c>
      <c r="L45" t="s">
        <v>90</v>
      </c>
      <c r="M45" s="32">
        <v>7.0000000000000007E-2</v>
      </c>
      <c r="N45" t="s">
        <v>64</v>
      </c>
      <c r="O45" t="s">
        <v>51</v>
      </c>
      <c r="P45">
        <v>55</v>
      </c>
      <c r="Q45">
        <v>3600</v>
      </c>
      <c r="R45">
        <v>3545</v>
      </c>
      <c r="S45" s="32">
        <v>0.98472222222222228</v>
      </c>
      <c r="T45">
        <v>252.00000000000003</v>
      </c>
      <c r="U45" t="s">
        <v>303</v>
      </c>
    </row>
    <row r="46" spans="1:21" x14ac:dyDescent="0.25">
      <c r="A46" t="s">
        <v>194</v>
      </c>
      <c r="B46" s="46">
        <v>46064</v>
      </c>
      <c r="C46" t="s">
        <v>85</v>
      </c>
      <c r="D46" t="s">
        <v>57</v>
      </c>
      <c r="E46" t="s">
        <v>76</v>
      </c>
      <c r="F46">
        <v>2</v>
      </c>
      <c r="G46">
        <v>4800</v>
      </c>
      <c r="H46">
        <v>9600</v>
      </c>
      <c r="I46" t="s">
        <v>118</v>
      </c>
      <c r="J46" t="s">
        <v>86</v>
      </c>
      <c r="K46" t="s">
        <v>77</v>
      </c>
      <c r="L46" t="s">
        <v>78</v>
      </c>
      <c r="M46" s="32">
        <v>0.1</v>
      </c>
      <c r="N46" t="s">
        <v>58</v>
      </c>
      <c r="O46" t="s">
        <v>37</v>
      </c>
      <c r="P46">
        <v>2900</v>
      </c>
      <c r="Q46">
        <v>9600</v>
      </c>
      <c r="R46">
        <v>6700</v>
      </c>
      <c r="S46" s="32">
        <v>0.69791666666666663</v>
      </c>
      <c r="T46">
        <v>960</v>
      </c>
      <c r="U46" t="s">
        <v>303</v>
      </c>
    </row>
    <row r="47" spans="1:21" x14ac:dyDescent="0.25">
      <c r="A47" t="s">
        <v>195</v>
      </c>
      <c r="B47" s="46">
        <v>46065</v>
      </c>
      <c r="C47" t="s">
        <v>93</v>
      </c>
      <c r="D47" t="s">
        <v>35</v>
      </c>
      <c r="E47" t="s">
        <v>140</v>
      </c>
      <c r="F47">
        <v>1</v>
      </c>
      <c r="G47">
        <v>15000</v>
      </c>
      <c r="H47">
        <v>14000</v>
      </c>
      <c r="I47" t="s">
        <v>118</v>
      </c>
      <c r="J47" t="s">
        <v>94</v>
      </c>
      <c r="K47" t="s">
        <v>73</v>
      </c>
      <c r="L47" t="s">
        <v>74</v>
      </c>
      <c r="M47" s="32">
        <v>0.08</v>
      </c>
      <c r="N47" t="s">
        <v>36</v>
      </c>
      <c r="O47" t="s">
        <v>37</v>
      </c>
      <c r="P47">
        <v>9800</v>
      </c>
      <c r="Q47">
        <v>15000</v>
      </c>
      <c r="R47">
        <v>5200</v>
      </c>
      <c r="S47" s="32">
        <v>0.34666666666666668</v>
      </c>
      <c r="T47">
        <v>1200</v>
      </c>
      <c r="U47" t="s">
        <v>303</v>
      </c>
    </row>
    <row r="48" spans="1:21" x14ac:dyDescent="0.25">
      <c r="A48" t="s">
        <v>197</v>
      </c>
      <c r="B48" s="46">
        <v>46065</v>
      </c>
      <c r="C48" t="s">
        <v>198</v>
      </c>
      <c r="D48" t="s">
        <v>45</v>
      </c>
      <c r="E48" t="s">
        <v>84</v>
      </c>
      <c r="F48">
        <v>1</v>
      </c>
      <c r="G48">
        <v>5500</v>
      </c>
      <c r="H48">
        <v>5500</v>
      </c>
      <c r="I48" t="s">
        <v>118</v>
      </c>
      <c r="J48" t="s">
        <v>94</v>
      </c>
      <c r="K48" t="s">
        <v>73</v>
      </c>
      <c r="L48" t="s">
        <v>74</v>
      </c>
      <c r="M48" s="32">
        <v>0.08</v>
      </c>
      <c r="N48" t="s">
        <v>46</v>
      </c>
      <c r="O48" t="s">
        <v>41</v>
      </c>
      <c r="P48">
        <v>3100</v>
      </c>
      <c r="Q48">
        <v>5500</v>
      </c>
      <c r="R48">
        <v>2400</v>
      </c>
      <c r="S48" s="32">
        <v>0.43636363636363634</v>
      </c>
      <c r="T48">
        <v>440</v>
      </c>
      <c r="U48" t="s">
        <v>303</v>
      </c>
    </row>
    <row r="49" spans="1:21" x14ac:dyDescent="0.25">
      <c r="A49" t="s">
        <v>199</v>
      </c>
      <c r="B49" s="46">
        <v>46065</v>
      </c>
      <c r="C49" t="s">
        <v>75</v>
      </c>
      <c r="D49" t="s">
        <v>43</v>
      </c>
      <c r="E49" t="s">
        <v>86</v>
      </c>
      <c r="F49">
        <v>2</v>
      </c>
      <c r="G49">
        <v>1800</v>
      </c>
      <c r="H49">
        <v>3600</v>
      </c>
      <c r="I49" t="s">
        <v>118</v>
      </c>
      <c r="J49" t="s">
        <v>76</v>
      </c>
      <c r="K49" t="s">
        <v>77</v>
      </c>
      <c r="L49" t="s">
        <v>78</v>
      </c>
      <c r="M49" s="32">
        <v>0.1</v>
      </c>
      <c r="N49" t="s">
        <v>44</v>
      </c>
      <c r="O49" t="s">
        <v>37</v>
      </c>
      <c r="P49">
        <v>950</v>
      </c>
      <c r="Q49">
        <v>3600</v>
      </c>
      <c r="R49">
        <v>2650</v>
      </c>
      <c r="S49" s="32">
        <v>0.73611111111111116</v>
      </c>
      <c r="T49">
        <v>360</v>
      </c>
      <c r="U49" t="s">
        <v>303</v>
      </c>
    </row>
    <row r="50" spans="1:21" x14ac:dyDescent="0.25">
      <c r="A50" t="s">
        <v>201</v>
      </c>
      <c r="B50" s="46">
        <v>46066</v>
      </c>
      <c r="C50" t="s">
        <v>95</v>
      </c>
      <c r="D50" t="s">
        <v>55</v>
      </c>
      <c r="E50" t="s">
        <v>88</v>
      </c>
      <c r="F50">
        <v>3</v>
      </c>
      <c r="G50">
        <v>890</v>
      </c>
      <c r="H50">
        <v>2670</v>
      </c>
      <c r="I50" t="s">
        <v>118</v>
      </c>
      <c r="J50" t="s">
        <v>96</v>
      </c>
      <c r="K50" t="s">
        <v>89</v>
      </c>
      <c r="L50" t="s">
        <v>90</v>
      </c>
      <c r="M50" s="32">
        <v>7.0000000000000007E-2</v>
      </c>
      <c r="N50" t="s">
        <v>56</v>
      </c>
      <c r="O50" t="s">
        <v>51</v>
      </c>
      <c r="P50">
        <v>420</v>
      </c>
      <c r="Q50">
        <v>2670</v>
      </c>
      <c r="R50">
        <v>2250</v>
      </c>
      <c r="S50" s="32">
        <v>0.84269662921348309</v>
      </c>
      <c r="T50">
        <v>186.9</v>
      </c>
      <c r="U50" t="s">
        <v>303</v>
      </c>
    </row>
    <row r="51" spans="1:21" x14ac:dyDescent="0.25">
      <c r="A51" t="s">
        <v>203</v>
      </c>
      <c r="B51" s="46">
        <v>46067</v>
      </c>
      <c r="C51" t="s">
        <v>91</v>
      </c>
      <c r="D51" t="s">
        <v>49</v>
      </c>
      <c r="E51" t="s">
        <v>92</v>
      </c>
      <c r="F51">
        <v>8</v>
      </c>
      <c r="G51">
        <v>350</v>
      </c>
      <c r="H51">
        <v>2800</v>
      </c>
      <c r="I51" t="s">
        <v>118</v>
      </c>
      <c r="J51" t="s">
        <v>92</v>
      </c>
      <c r="K51" t="s">
        <v>81</v>
      </c>
      <c r="L51" t="s">
        <v>82</v>
      </c>
      <c r="M51" s="32">
        <v>0.09</v>
      </c>
      <c r="N51" t="s">
        <v>50</v>
      </c>
      <c r="O51" t="s">
        <v>51</v>
      </c>
      <c r="P51">
        <v>140</v>
      </c>
      <c r="Q51">
        <v>2800</v>
      </c>
      <c r="R51">
        <v>2660</v>
      </c>
      <c r="S51" s="32">
        <v>0.95</v>
      </c>
      <c r="T51">
        <v>252</v>
      </c>
      <c r="U51" t="s">
        <v>303</v>
      </c>
    </row>
    <row r="52" spans="1:21" x14ac:dyDescent="0.25">
      <c r="A52" t="s">
        <v>205</v>
      </c>
      <c r="B52" s="46">
        <v>46070</v>
      </c>
      <c r="C52" t="s">
        <v>83</v>
      </c>
      <c r="D52" t="s">
        <v>57</v>
      </c>
      <c r="E52" t="s">
        <v>128</v>
      </c>
      <c r="F52">
        <v>3</v>
      </c>
      <c r="G52">
        <v>4800</v>
      </c>
      <c r="H52" t="s">
        <v>207</v>
      </c>
      <c r="I52" t="s">
        <v>118</v>
      </c>
      <c r="J52" t="s">
        <v>84</v>
      </c>
      <c r="K52" t="s">
        <v>73</v>
      </c>
      <c r="L52" t="s">
        <v>74</v>
      </c>
      <c r="M52" s="32">
        <v>0.08</v>
      </c>
      <c r="N52" t="s">
        <v>58</v>
      </c>
      <c r="O52" t="s">
        <v>37</v>
      </c>
      <c r="P52">
        <v>2900</v>
      </c>
      <c r="Q52">
        <v>14400</v>
      </c>
      <c r="R52">
        <v>11500</v>
      </c>
      <c r="S52" s="32">
        <v>0.79861111111111116</v>
      </c>
      <c r="T52">
        <v>1152</v>
      </c>
      <c r="U52" t="s">
        <v>303</v>
      </c>
    </row>
    <row r="53" spans="1:21" x14ac:dyDescent="0.25">
      <c r="A53" t="s">
        <v>208</v>
      </c>
      <c r="B53" s="46">
        <v>46071</v>
      </c>
      <c r="C53" t="s">
        <v>97</v>
      </c>
      <c r="D53" t="s">
        <v>61</v>
      </c>
      <c r="E53" t="s">
        <v>131</v>
      </c>
      <c r="F53">
        <v>2</v>
      </c>
      <c r="G53">
        <v>2800</v>
      </c>
      <c r="H53">
        <v>5600</v>
      </c>
      <c r="I53" t="s">
        <v>118</v>
      </c>
      <c r="J53" t="s">
        <v>98</v>
      </c>
      <c r="K53" t="s">
        <v>77</v>
      </c>
      <c r="L53" t="s">
        <v>78</v>
      </c>
      <c r="M53" s="32">
        <v>0.1</v>
      </c>
      <c r="N53" t="s">
        <v>62</v>
      </c>
      <c r="O53" t="s">
        <v>41</v>
      </c>
      <c r="P53">
        <v>1600</v>
      </c>
      <c r="Q53">
        <v>5600</v>
      </c>
      <c r="R53">
        <v>4000</v>
      </c>
      <c r="S53" s="32">
        <v>0.7142857142857143</v>
      </c>
      <c r="T53">
        <v>560</v>
      </c>
      <c r="U53" t="s">
        <v>303</v>
      </c>
    </row>
    <row r="54" spans="1:21" x14ac:dyDescent="0.25">
      <c r="A54" s="33" t="s">
        <v>210</v>
      </c>
      <c r="B54" s="48">
        <v>46071</v>
      </c>
      <c r="C54" s="33" t="s">
        <v>79</v>
      </c>
      <c r="D54" s="33" t="s">
        <v>47</v>
      </c>
      <c r="E54" s="33" t="s">
        <v>94</v>
      </c>
      <c r="F54" s="33">
        <v>-2</v>
      </c>
      <c r="G54" s="33">
        <v>1200</v>
      </c>
      <c r="H54" s="33"/>
      <c r="I54" s="33" t="s">
        <v>302</v>
      </c>
      <c r="J54" s="33" t="s">
        <v>80</v>
      </c>
      <c r="K54" s="33" t="s">
        <v>81</v>
      </c>
      <c r="L54" s="33" t="s">
        <v>82</v>
      </c>
      <c r="M54" s="34">
        <v>0.09</v>
      </c>
      <c r="N54" s="33" t="s">
        <v>48</v>
      </c>
      <c r="O54" s="33" t="s">
        <v>37</v>
      </c>
      <c r="P54" s="33">
        <v>620</v>
      </c>
      <c r="Q54" s="33">
        <v>-2400</v>
      </c>
      <c r="R54" s="33">
        <v>-3020</v>
      </c>
      <c r="S54" s="34">
        <v>1.2583333333333333</v>
      </c>
      <c r="T54" s="33">
        <v>-216</v>
      </c>
      <c r="U54" s="33" t="s">
        <v>304</v>
      </c>
    </row>
    <row r="55" spans="1:21" x14ac:dyDescent="0.25">
      <c r="A55" t="s">
        <v>212</v>
      </c>
      <c r="B55" s="46">
        <v>46072</v>
      </c>
      <c r="C55" t="s">
        <v>71</v>
      </c>
      <c r="D55" t="s">
        <v>53</v>
      </c>
      <c r="E55" t="s">
        <v>98</v>
      </c>
      <c r="F55">
        <v>4</v>
      </c>
      <c r="G55">
        <v>2100</v>
      </c>
      <c r="H55">
        <v>8400</v>
      </c>
      <c r="I55" t="s">
        <v>118</v>
      </c>
      <c r="J55" t="s">
        <v>72</v>
      </c>
      <c r="K55" t="s">
        <v>73</v>
      </c>
      <c r="L55" t="s">
        <v>74</v>
      </c>
      <c r="M55" s="32">
        <v>0.08</v>
      </c>
      <c r="N55" t="s">
        <v>54</v>
      </c>
      <c r="O55" t="s">
        <v>37</v>
      </c>
      <c r="P55">
        <v>1100</v>
      </c>
      <c r="Q55">
        <v>8400</v>
      </c>
      <c r="R55">
        <v>7300</v>
      </c>
      <c r="S55" s="32">
        <v>0.86904761904761907</v>
      </c>
      <c r="T55">
        <v>672</v>
      </c>
      <c r="U55" t="s">
        <v>303</v>
      </c>
    </row>
    <row r="56" spans="1:21" x14ac:dyDescent="0.25">
      <c r="A56" t="s">
        <v>214</v>
      </c>
      <c r="B56" s="46">
        <v>46072</v>
      </c>
      <c r="C56" t="s">
        <v>87</v>
      </c>
      <c r="D56" t="s">
        <v>39</v>
      </c>
      <c r="E56" t="s">
        <v>96</v>
      </c>
      <c r="F56">
        <v>1</v>
      </c>
      <c r="G56">
        <v>3200</v>
      </c>
      <c r="H56">
        <v>3200</v>
      </c>
      <c r="I56" t="s">
        <v>118</v>
      </c>
      <c r="J56" t="s">
        <v>88</v>
      </c>
      <c r="K56" t="s">
        <v>89</v>
      </c>
      <c r="L56" t="s">
        <v>90</v>
      </c>
      <c r="M56" s="32">
        <v>7.0000000000000007E-2</v>
      </c>
      <c r="N56" t="s">
        <v>40</v>
      </c>
      <c r="O56" t="s">
        <v>41</v>
      </c>
      <c r="P56">
        <v>1750</v>
      </c>
      <c r="Q56">
        <v>3200</v>
      </c>
      <c r="R56">
        <v>1450</v>
      </c>
      <c r="S56" s="32">
        <v>0.453125</v>
      </c>
      <c r="T56">
        <v>224.00000000000003</v>
      </c>
      <c r="U56" t="s">
        <v>303</v>
      </c>
    </row>
    <row r="57" spans="1:21" x14ac:dyDescent="0.25">
      <c r="A57" t="s">
        <v>215</v>
      </c>
      <c r="B57" s="46">
        <v>46073</v>
      </c>
      <c r="C57" t="s">
        <v>85</v>
      </c>
      <c r="D57" t="s">
        <v>59</v>
      </c>
      <c r="E57" t="s">
        <v>76</v>
      </c>
      <c r="F57">
        <v>5</v>
      </c>
      <c r="G57">
        <v>650</v>
      </c>
      <c r="H57">
        <v>3250</v>
      </c>
      <c r="I57" t="s">
        <v>118</v>
      </c>
      <c r="J57" t="s">
        <v>86</v>
      </c>
      <c r="K57" t="s">
        <v>77</v>
      </c>
      <c r="L57" t="s">
        <v>78</v>
      </c>
      <c r="M57" s="32">
        <v>0.1</v>
      </c>
      <c r="N57" t="s">
        <v>60</v>
      </c>
      <c r="O57" t="s">
        <v>37</v>
      </c>
      <c r="P57">
        <v>310</v>
      </c>
      <c r="Q57">
        <v>3250</v>
      </c>
      <c r="R57">
        <v>2940</v>
      </c>
      <c r="S57" s="32">
        <v>0.9046153846153846</v>
      </c>
      <c r="T57">
        <v>325</v>
      </c>
      <c r="U57" t="s">
        <v>303</v>
      </c>
    </row>
    <row r="58" spans="1:21" x14ac:dyDescent="0.25">
      <c r="A58" t="s">
        <v>217</v>
      </c>
      <c r="B58" s="46">
        <v>46073</v>
      </c>
      <c r="C58" t="s">
        <v>93</v>
      </c>
      <c r="D58" t="s">
        <v>63</v>
      </c>
      <c r="E58" t="s">
        <v>140</v>
      </c>
      <c r="F58">
        <v>20</v>
      </c>
      <c r="G58">
        <v>120</v>
      </c>
      <c r="H58">
        <v>2400</v>
      </c>
      <c r="I58" t="s">
        <v>118</v>
      </c>
      <c r="J58" t="s">
        <v>94</v>
      </c>
      <c r="K58" t="s">
        <v>73</v>
      </c>
      <c r="L58" t="s">
        <v>74</v>
      </c>
      <c r="M58" s="32">
        <v>0.08</v>
      </c>
      <c r="N58" t="s">
        <v>64</v>
      </c>
      <c r="O58" t="s">
        <v>51</v>
      </c>
      <c r="P58">
        <v>55</v>
      </c>
      <c r="Q58">
        <v>2400</v>
      </c>
      <c r="R58">
        <v>2345</v>
      </c>
      <c r="S58" s="32">
        <v>0.9770833333333333</v>
      </c>
      <c r="T58">
        <v>192</v>
      </c>
      <c r="U58" t="s">
        <v>303</v>
      </c>
    </row>
    <row r="59" spans="1:21" x14ac:dyDescent="0.25">
      <c r="A59" t="s">
        <v>219</v>
      </c>
      <c r="B59" s="46">
        <v>46074</v>
      </c>
      <c r="C59" t="s">
        <v>75</v>
      </c>
      <c r="D59" t="s">
        <v>35</v>
      </c>
      <c r="E59" t="s">
        <v>84</v>
      </c>
      <c r="F59">
        <v>1</v>
      </c>
      <c r="G59">
        <v>15000</v>
      </c>
      <c r="H59">
        <v>15000</v>
      </c>
      <c r="I59" t="s">
        <v>118</v>
      </c>
      <c r="J59" t="s">
        <v>76</v>
      </c>
      <c r="K59" t="s">
        <v>77</v>
      </c>
      <c r="L59" t="s">
        <v>78</v>
      </c>
      <c r="M59" s="32">
        <v>0.1</v>
      </c>
      <c r="N59" t="s">
        <v>36</v>
      </c>
      <c r="O59" t="s">
        <v>37</v>
      </c>
      <c r="P59">
        <v>9800</v>
      </c>
      <c r="Q59">
        <v>15000</v>
      </c>
      <c r="R59">
        <v>5200</v>
      </c>
      <c r="S59" s="32">
        <v>0.34666666666666668</v>
      </c>
      <c r="T59">
        <v>1500</v>
      </c>
      <c r="U59" t="s">
        <v>303</v>
      </c>
    </row>
    <row r="60" spans="1:21" x14ac:dyDescent="0.25">
      <c r="A60" t="s">
        <v>221</v>
      </c>
      <c r="B60" s="46">
        <v>46077</v>
      </c>
      <c r="C60" t="s">
        <v>95</v>
      </c>
      <c r="D60" t="s">
        <v>45</v>
      </c>
      <c r="E60" t="s">
        <v>86</v>
      </c>
      <c r="F60">
        <v>1</v>
      </c>
      <c r="G60">
        <v>5500</v>
      </c>
      <c r="H60">
        <v>5500</v>
      </c>
      <c r="I60" t="s">
        <v>118</v>
      </c>
      <c r="J60" t="s">
        <v>96</v>
      </c>
      <c r="K60" t="s">
        <v>89</v>
      </c>
      <c r="L60" t="s">
        <v>90</v>
      </c>
      <c r="M60" s="32">
        <v>7.0000000000000007E-2</v>
      </c>
      <c r="N60" t="s">
        <v>46</v>
      </c>
      <c r="O60" t="s">
        <v>41</v>
      </c>
      <c r="P60">
        <v>3100</v>
      </c>
      <c r="Q60">
        <v>5500</v>
      </c>
      <c r="R60">
        <v>2400</v>
      </c>
      <c r="S60" s="32">
        <v>0.43636363636363634</v>
      </c>
      <c r="T60">
        <v>385.00000000000006</v>
      </c>
      <c r="U60" t="s">
        <v>303</v>
      </c>
    </row>
    <row r="61" spans="1:21" x14ac:dyDescent="0.25">
      <c r="A61" t="s">
        <v>223</v>
      </c>
      <c r="B61" s="46">
        <v>46077</v>
      </c>
      <c r="C61" t="s">
        <v>91</v>
      </c>
      <c r="D61" t="s">
        <v>55</v>
      </c>
      <c r="E61" t="s">
        <v>88</v>
      </c>
      <c r="F61">
        <v>4</v>
      </c>
      <c r="G61">
        <v>890</v>
      </c>
      <c r="H61">
        <v>3560</v>
      </c>
      <c r="I61" t="s">
        <v>118</v>
      </c>
      <c r="J61" t="s">
        <v>92</v>
      </c>
      <c r="K61" t="s">
        <v>81</v>
      </c>
      <c r="L61" t="s">
        <v>82</v>
      </c>
      <c r="M61" s="32">
        <v>0.09</v>
      </c>
      <c r="N61" t="s">
        <v>56</v>
      </c>
      <c r="O61" t="s">
        <v>51</v>
      </c>
      <c r="P61">
        <v>420</v>
      </c>
      <c r="Q61">
        <v>3560</v>
      </c>
      <c r="R61">
        <v>3140</v>
      </c>
      <c r="S61" s="32">
        <v>0.8820224719101124</v>
      </c>
      <c r="T61">
        <v>320.39999999999998</v>
      </c>
      <c r="U61" t="s">
        <v>303</v>
      </c>
    </row>
    <row r="62" spans="1:21" x14ac:dyDescent="0.25">
      <c r="A62" t="s">
        <v>225</v>
      </c>
      <c r="B62" s="46">
        <v>46078</v>
      </c>
      <c r="C62" t="s">
        <v>97</v>
      </c>
      <c r="D62" t="s">
        <v>43</v>
      </c>
      <c r="E62" t="s">
        <v>92</v>
      </c>
      <c r="F62">
        <v>3</v>
      </c>
      <c r="G62">
        <v>1800</v>
      </c>
      <c r="H62">
        <v>5400</v>
      </c>
      <c r="I62" t="s">
        <v>118</v>
      </c>
      <c r="J62" t="s">
        <v>98</v>
      </c>
      <c r="K62" t="s">
        <v>77</v>
      </c>
      <c r="L62" t="s">
        <v>78</v>
      </c>
      <c r="M62" s="32">
        <v>0.1</v>
      </c>
      <c r="N62" t="s">
        <v>44</v>
      </c>
      <c r="O62" t="s">
        <v>37</v>
      </c>
      <c r="P62">
        <v>950</v>
      </c>
      <c r="Q62">
        <v>5400</v>
      </c>
      <c r="R62">
        <v>4450</v>
      </c>
      <c r="S62" s="32">
        <v>0.82407407407407407</v>
      </c>
      <c r="T62">
        <v>540</v>
      </c>
      <c r="U62" t="s">
        <v>303</v>
      </c>
    </row>
    <row r="63" spans="1:21" x14ac:dyDescent="0.25">
      <c r="A63" t="s">
        <v>227</v>
      </c>
      <c r="B63" s="46">
        <v>46084</v>
      </c>
      <c r="C63" t="s">
        <v>71</v>
      </c>
      <c r="D63" t="s">
        <v>35</v>
      </c>
      <c r="E63" t="s">
        <v>128</v>
      </c>
      <c r="F63">
        <v>1</v>
      </c>
      <c r="G63">
        <v>15000</v>
      </c>
      <c r="H63">
        <v>15000</v>
      </c>
      <c r="I63" t="s">
        <v>118</v>
      </c>
      <c r="J63" t="s">
        <v>72</v>
      </c>
      <c r="K63" t="s">
        <v>73</v>
      </c>
      <c r="L63" t="s">
        <v>74</v>
      </c>
      <c r="M63" s="32">
        <v>0.08</v>
      </c>
      <c r="N63" t="s">
        <v>36</v>
      </c>
      <c r="O63" t="s">
        <v>37</v>
      </c>
      <c r="P63">
        <v>9800</v>
      </c>
      <c r="Q63">
        <v>15000</v>
      </c>
      <c r="R63">
        <v>5200</v>
      </c>
      <c r="S63" s="32">
        <v>0.34666666666666668</v>
      </c>
      <c r="T63">
        <v>1200</v>
      </c>
      <c r="U63" t="s">
        <v>303</v>
      </c>
    </row>
    <row r="64" spans="1:21" x14ac:dyDescent="0.25">
      <c r="A64" t="s">
        <v>229</v>
      </c>
      <c r="B64" s="46">
        <v>46084</v>
      </c>
      <c r="C64" t="s">
        <v>85</v>
      </c>
      <c r="D64" t="s">
        <v>57</v>
      </c>
      <c r="E64" t="s">
        <v>131</v>
      </c>
      <c r="F64">
        <v>2</v>
      </c>
      <c r="G64">
        <v>4800</v>
      </c>
      <c r="H64">
        <v>9600</v>
      </c>
      <c r="I64" t="s">
        <v>118</v>
      </c>
      <c r="J64" t="s">
        <v>86</v>
      </c>
      <c r="K64" t="s">
        <v>77</v>
      </c>
      <c r="L64" t="s">
        <v>78</v>
      </c>
      <c r="M64" s="32">
        <v>0.1</v>
      </c>
      <c r="N64" t="s">
        <v>58</v>
      </c>
      <c r="O64" t="s">
        <v>37</v>
      </c>
      <c r="P64">
        <v>2900</v>
      </c>
      <c r="Q64">
        <v>9600</v>
      </c>
      <c r="R64">
        <v>6700</v>
      </c>
      <c r="S64" s="32">
        <v>0.69791666666666663</v>
      </c>
      <c r="T64">
        <v>960</v>
      </c>
      <c r="U64" t="s">
        <v>303</v>
      </c>
    </row>
    <row r="65" spans="1:21" x14ac:dyDescent="0.25">
      <c r="A65" s="35" t="s">
        <v>231</v>
      </c>
      <c r="B65" s="47">
        <v>46085</v>
      </c>
      <c r="C65" s="35" t="s">
        <v>79</v>
      </c>
      <c r="D65" s="35" t="s">
        <v>53</v>
      </c>
      <c r="E65" s="35" t="s">
        <v>300</v>
      </c>
      <c r="F65" s="35">
        <v>3</v>
      </c>
      <c r="G65" s="35">
        <v>2100</v>
      </c>
      <c r="H65" s="35">
        <v>6300</v>
      </c>
      <c r="I65" s="35" t="s">
        <v>118</v>
      </c>
      <c r="J65" s="35" t="s">
        <v>80</v>
      </c>
      <c r="K65" s="35" t="s">
        <v>81</v>
      </c>
      <c r="L65" s="35" t="s">
        <v>82</v>
      </c>
      <c r="M65" s="36">
        <v>0.09</v>
      </c>
      <c r="N65" s="35" t="s">
        <v>54</v>
      </c>
      <c r="O65" s="35" t="s">
        <v>37</v>
      </c>
      <c r="P65" s="35">
        <v>1100</v>
      </c>
      <c r="Q65" s="35">
        <v>6300</v>
      </c>
      <c r="R65" s="35">
        <v>5200</v>
      </c>
      <c r="S65" s="36">
        <v>0.82539682539682535</v>
      </c>
      <c r="T65" s="35">
        <v>567</v>
      </c>
      <c r="U65" s="35" t="s">
        <v>303</v>
      </c>
    </row>
    <row r="66" spans="1:21" x14ac:dyDescent="0.25">
      <c r="A66" t="s">
        <v>233</v>
      </c>
      <c r="B66" s="46">
        <v>46085</v>
      </c>
      <c r="C66" t="s">
        <v>93</v>
      </c>
      <c r="D66" t="s">
        <v>45</v>
      </c>
      <c r="E66" t="s">
        <v>98</v>
      </c>
      <c r="F66">
        <v>1</v>
      </c>
      <c r="G66">
        <v>5500</v>
      </c>
      <c r="H66">
        <v>5500</v>
      </c>
      <c r="I66" t="s">
        <v>118</v>
      </c>
      <c r="J66" t="s">
        <v>94</v>
      </c>
      <c r="K66" t="s">
        <v>73</v>
      </c>
      <c r="L66" t="s">
        <v>74</v>
      </c>
      <c r="M66" s="32">
        <v>0.08</v>
      </c>
      <c r="N66" t="s">
        <v>46</v>
      </c>
      <c r="O66" t="s">
        <v>41</v>
      </c>
      <c r="P66">
        <v>3100</v>
      </c>
      <c r="Q66">
        <v>5500</v>
      </c>
      <c r="R66">
        <v>2400</v>
      </c>
      <c r="S66" s="32">
        <v>0.43636363636363634</v>
      </c>
      <c r="T66">
        <v>440</v>
      </c>
      <c r="U66" t="s">
        <v>303</v>
      </c>
    </row>
    <row r="67" spans="1:21" x14ac:dyDescent="0.25">
      <c r="A67" t="s">
        <v>234</v>
      </c>
      <c r="B67" s="46">
        <v>46086</v>
      </c>
      <c r="C67" t="s">
        <v>75</v>
      </c>
      <c r="D67" t="s">
        <v>49</v>
      </c>
      <c r="E67" t="s">
        <v>96</v>
      </c>
      <c r="F67">
        <v>15</v>
      </c>
      <c r="G67">
        <v>350</v>
      </c>
      <c r="H67">
        <v>5250</v>
      </c>
      <c r="I67" t="s">
        <v>118</v>
      </c>
      <c r="J67" t="s">
        <v>76</v>
      </c>
      <c r="K67" t="s">
        <v>77</v>
      </c>
      <c r="L67" t="s">
        <v>78</v>
      </c>
      <c r="M67" s="32">
        <v>0.1</v>
      </c>
      <c r="N67" t="s">
        <v>50</v>
      </c>
      <c r="O67" t="s">
        <v>51</v>
      </c>
      <c r="P67">
        <v>140</v>
      </c>
      <c r="Q67">
        <v>5250</v>
      </c>
      <c r="R67">
        <v>5110</v>
      </c>
      <c r="S67" s="32">
        <v>0.97333333333333338</v>
      </c>
      <c r="T67">
        <v>525</v>
      </c>
      <c r="U67" t="s">
        <v>303</v>
      </c>
    </row>
    <row r="68" spans="1:21" x14ac:dyDescent="0.25">
      <c r="A68" t="s">
        <v>236</v>
      </c>
      <c r="B68" s="46">
        <v>46086</v>
      </c>
      <c r="C68" t="s">
        <v>87</v>
      </c>
      <c r="D68" t="s">
        <v>39</v>
      </c>
      <c r="E68" t="s">
        <v>94</v>
      </c>
      <c r="F68">
        <v>2</v>
      </c>
      <c r="G68">
        <v>3200</v>
      </c>
      <c r="H68">
        <v>6400</v>
      </c>
      <c r="I68" t="s">
        <v>153</v>
      </c>
      <c r="J68" t="s">
        <v>88</v>
      </c>
      <c r="K68" t="s">
        <v>89</v>
      </c>
      <c r="L68" t="s">
        <v>90</v>
      </c>
      <c r="M68" s="32">
        <v>7.0000000000000007E-2</v>
      </c>
      <c r="N68" t="s">
        <v>40</v>
      </c>
      <c r="O68" t="s">
        <v>41</v>
      </c>
      <c r="P68">
        <v>1750</v>
      </c>
      <c r="Q68">
        <v>6400</v>
      </c>
      <c r="R68">
        <v>4650</v>
      </c>
      <c r="S68" s="32">
        <v>0.7265625</v>
      </c>
      <c r="T68">
        <v>448.00000000000006</v>
      </c>
      <c r="U68" t="s">
        <v>303</v>
      </c>
    </row>
    <row r="69" spans="1:21" x14ac:dyDescent="0.25">
      <c r="A69" t="s">
        <v>237</v>
      </c>
      <c r="B69" s="46">
        <v>46086</v>
      </c>
      <c r="C69" t="s">
        <v>95</v>
      </c>
      <c r="D69" t="s">
        <v>59</v>
      </c>
      <c r="E69" t="s">
        <v>76</v>
      </c>
      <c r="F69">
        <v>4</v>
      </c>
      <c r="G69">
        <v>650</v>
      </c>
      <c r="H69">
        <v>2600</v>
      </c>
      <c r="I69" t="s">
        <v>118</v>
      </c>
      <c r="J69" t="s">
        <v>96</v>
      </c>
      <c r="K69" t="s">
        <v>89</v>
      </c>
      <c r="L69" t="s">
        <v>90</v>
      </c>
      <c r="M69" s="32">
        <v>7.0000000000000007E-2</v>
      </c>
      <c r="N69" t="s">
        <v>60</v>
      </c>
      <c r="O69" t="s">
        <v>37</v>
      </c>
      <c r="P69">
        <v>310</v>
      </c>
      <c r="Q69">
        <v>2600</v>
      </c>
      <c r="R69">
        <v>2290</v>
      </c>
      <c r="S69" s="32">
        <v>0.88076923076923075</v>
      </c>
      <c r="T69">
        <v>182.00000000000003</v>
      </c>
      <c r="U69" t="s">
        <v>303</v>
      </c>
    </row>
    <row r="70" spans="1:21" x14ac:dyDescent="0.25">
      <c r="A70" t="s">
        <v>239</v>
      </c>
      <c r="B70" s="46">
        <v>46087</v>
      </c>
      <c r="C70" t="s">
        <v>91</v>
      </c>
      <c r="D70" t="s">
        <v>43</v>
      </c>
      <c r="E70" t="s">
        <v>140</v>
      </c>
      <c r="F70">
        <v>2</v>
      </c>
      <c r="G70">
        <v>1800</v>
      </c>
      <c r="H70">
        <v>3600</v>
      </c>
      <c r="I70" t="s">
        <v>118</v>
      </c>
      <c r="J70" t="s">
        <v>92</v>
      </c>
      <c r="K70" t="s">
        <v>81</v>
      </c>
      <c r="L70" t="s">
        <v>82</v>
      </c>
      <c r="M70" s="32">
        <v>0.09</v>
      </c>
      <c r="N70" t="s">
        <v>44</v>
      </c>
      <c r="O70" t="s">
        <v>37</v>
      </c>
      <c r="P70">
        <v>950</v>
      </c>
      <c r="Q70">
        <v>3600</v>
      </c>
      <c r="R70">
        <v>2650</v>
      </c>
      <c r="S70" s="32">
        <v>0.73611111111111116</v>
      </c>
      <c r="T70">
        <v>324</v>
      </c>
      <c r="U70" t="s">
        <v>303</v>
      </c>
    </row>
    <row r="71" spans="1:21" x14ac:dyDescent="0.25">
      <c r="A71" t="s">
        <v>241</v>
      </c>
      <c r="B71" s="46">
        <v>46087</v>
      </c>
      <c r="C71" t="s">
        <v>83</v>
      </c>
      <c r="D71" t="s">
        <v>63</v>
      </c>
      <c r="E71" t="s">
        <v>84</v>
      </c>
      <c r="F71">
        <v>20</v>
      </c>
      <c r="G71">
        <v>120</v>
      </c>
      <c r="H71">
        <v>2400</v>
      </c>
      <c r="I71" t="s">
        <v>118</v>
      </c>
      <c r="J71" t="s">
        <v>84</v>
      </c>
      <c r="K71" t="s">
        <v>73</v>
      </c>
      <c r="L71" t="s">
        <v>74</v>
      </c>
      <c r="M71" s="32">
        <v>0.08</v>
      </c>
      <c r="N71" t="s">
        <v>64</v>
      </c>
      <c r="O71" t="s">
        <v>51</v>
      </c>
      <c r="P71">
        <v>55</v>
      </c>
      <c r="Q71">
        <v>2400</v>
      </c>
      <c r="R71">
        <v>2345</v>
      </c>
      <c r="S71" s="32">
        <v>0.9770833333333333</v>
      </c>
      <c r="T71">
        <v>192</v>
      </c>
      <c r="U71" t="s">
        <v>303</v>
      </c>
    </row>
    <row r="72" spans="1:21" x14ac:dyDescent="0.25">
      <c r="A72" t="s">
        <v>242</v>
      </c>
      <c r="B72" s="46">
        <v>46088</v>
      </c>
      <c r="C72" t="s">
        <v>97</v>
      </c>
      <c r="D72" t="s">
        <v>61</v>
      </c>
      <c r="E72" t="s">
        <v>86</v>
      </c>
      <c r="F72">
        <v>1</v>
      </c>
      <c r="G72">
        <v>2800</v>
      </c>
      <c r="H72">
        <v>2800</v>
      </c>
      <c r="I72" t="s">
        <v>118</v>
      </c>
      <c r="J72" t="s">
        <v>98</v>
      </c>
      <c r="K72" t="s">
        <v>77</v>
      </c>
      <c r="L72" t="s">
        <v>78</v>
      </c>
      <c r="M72" s="32">
        <v>0.1</v>
      </c>
      <c r="N72" t="s">
        <v>62</v>
      </c>
      <c r="O72" t="s">
        <v>41</v>
      </c>
      <c r="P72">
        <v>1600</v>
      </c>
      <c r="Q72">
        <v>2800</v>
      </c>
      <c r="R72">
        <v>1200</v>
      </c>
      <c r="S72" s="32">
        <v>0.42857142857142855</v>
      </c>
      <c r="T72">
        <v>280</v>
      </c>
      <c r="U72" t="s">
        <v>303</v>
      </c>
    </row>
    <row r="73" spans="1:21" x14ac:dyDescent="0.25">
      <c r="A73" t="s">
        <v>244</v>
      </c>
      <c r="B73" s="46">
        <v>46088</v>
      </c>
      <c r="C73" t="s">
        <v>71</v>
      </c>
      <c r="D73" t="s">
        <v>55</v>
      </c>
      <c r="E73" t="s">
        <v>88</v>
      </c>
      <c r="F73">
        <v>3</v>
      </c>
      <c r="G73">
        <v>890</v>
      </c>
      <c r="H73">
        <v>2670</v>
      </c>
      <c r="I73" t="s">
        <v>118</v>
      </c>
      <c r="J73" t="s">
        <v>72</v>
      </c>
      <c r="K73" t="s">
        <v>73</v>
      </c>
      <c r="L73" t="s">
        <v>74</v>
      </c>
      <c r="M73" s="32">
        <v>0.08</v>
      </c>
      <c r="N73" t="s">
        <v>56</v>
      </c>
      <c r="O73" t="s">
        <v>51</v>
      </c>
      <c r="P73">
        <v>420</v>
      </c>
      <c r="Q73">
        <v>2670</v>
      </c>
      <c r="R73">
        <v>2250</v>
      </c>
      <c r="S73" s="32">
        <v>0.84269662921348309</v>
      </c>
      <c r="T73">
        <v>213.6</v>
      </c>
      <c r="U73" t="s">
        <v>303</v>
      </c>
    </row>
    <row r="74" spans="1:21" x14ac:dyDescent="0.25">
      <c r="A74" t="s">
        <v>246</v>
      </c>
      <c r="B74" s="46">
        <v>46091</v>
      </c>
      <c r="C74" t="s">
        <v>85</v>
      </c>
      <c r="D74" t="s">
        <v>35</v>
      </c>
      <c r="E74" t="s">
        <v>92</v>
      </c>
      <c r="F74">
        <v>1</v>
      </c>
      <c r="G74">
        <v>15000</v>
      </c>
      <c r="H74">
        <v>15000</v>
      </c>
      <c r="I74" t="s">
        <v>118</v>
      </c>
      <c r="J74" t="s">
        <v>86</v>
      </c>
      <c r="K74" t="s">
        <v>77</v>
      </c>
      <c r="L74" t="s">
        <v>78</v>
      </c>
      <c r="M74" s="32">
        <v>0.1</v>
      </c>
      <c r="N74" t="s">
        <v>36</v>
      </c>
      <c r="O74" t="s">
        <v>37</v>
      </c>
      <c r="P74">
        <v>9800</v>
      </c>
      <c r="Q74">
        <v>15000</v>
      </c>
      <c r="R74">
        <v>5200</v>
      </c>
      <c r="S74" s="32">
        <v>0.34666666666666668</v>
      </c>
      <c r="T74">
        <v>1500</v>
      </c>
      <c r="U74" t="s">
        <v>303</v>
      </c>
    </row>
    <row r="75" spans="1:21" x14ac:dyDescent="0.25">
      <c r="A75" t="s">
        <v>248</v>
      </c>
      <c r="B75" s="46">
        <v>46091</v>
      </c>
      <c r="C75" t="s">
        <v>79</v>
      </c>
      <c r="D75" t="s">
        <v>47</v>
      </c>
      <c r="E75" t="s">
        <v>128</v>
      </c>
      <c r="F75">
        <v>6</v>
      </c>
      <c r="G75">
        <v>1200</v>
      </c>
      <c r="H75">
        <v>6200</v>
      </c>
      <c r="I75" t="s">
        <v>118</v>
      </c>
      <c r="J75" t="s">
        <v>80</v>
      </c>
      <c r="K75" t="s">
        <v>81</v>
      </c>
      <c r="L75" t="s">
        <v>82</v>
      </c>
      <c r="M75" s="32">
        <v>0.09</v>
      </c>
      <c r="N75" t="s">
        <v>48</v>
      </c>
      <c r="O75" t="s">
        <v>37</v>
      </c>
      <c r="P75">
        <v>620</v>
      </c>
      <c r="Q75">
        <v>7200</v>
      </c>
      <c r="R75">
        <v>6580</v>
      </c>
      <c r="S75" s="32">
        <v>0.91388888888888886</v>
      </c>
      <c r="T75">
        <v>648</v>
      </c>
      <c r="U75" t="s">
        <v>303</v>
      </c>
    </row>
    <row r="76" spans="1:21" x14ac:dyDescent="0.25">
      <c r="A76" t="s">
        <v>249</v>
      </c>
      <c r="B76" s="46">
        <v>46091</v>
      </c>
      <c r="C76" t="s">
        <v>93</v>
      </c>
      <c r="D76" t="s">
        <v>57</v>
      </c>
      <c r="E76" t="s">
        <v>131</v>
      </c>
      <c r="F76">
        <v>2</v>
      </c>
      <c r="G76">
        <v>4800</v>
      </c>
      <c r="H76">
        <v>9600</v>
      </c>
      <c r="I76" t="s">
        <v>118</v>
      </c>
      <c r="J76" t="s">
        <v>94</v>
      </c>
      <c r="K76" t="s">
        <v>73</v>
      </c>
      <c r="L76" t="s">
        <v>74</v>
      </c>
      <c r="M76" s="32">
        <v>0.08</v>
      </c>
      <c r="N76" t="s">
        <v>58</v>
      </c>
      <c r="O76" t="s">
        <v>37</v>
      </c>
      <c r="P76">
        <v>2900</v>
      </c>
      <c r="Q76">
        <v>9600</v>
      </c>
      <c r="R76">
        <v>6700</v>
      </c>
      <c r="S76" s="32">
        <v>0.69791666666666663</v>
      </c>
      <c r="T76">
        <v>768</v>
      </c>
      <c r="U76" t="s">
        <v>303</v>
      </c>
    </row>
    <row r="77" spans="1:21" x14ac:dyDescent="0.25">
      <c r="A77" t="s">
        <v>251</v>
      </c>
      <c r="B77" s="46">
        <v>46092</v>
      </c>
      <c r="C77" t="s">
        <v>75</v>
      </c>
      <c r="D77" t="s">
        <v>45</v>
      </c>
      <c r="E77" t="s">
        <v>84</v>
      </c>
      <c r="F77">
        <v>1</v>
      </c>
      <c r="G77">
        <v>5500</v>
      </c>
      <c r="H77">
        <v>5500</v>
      </c>
      <c r="I77" t="s">
        <v>118</v>
      </c>
      <c r="J77" t="s">
        <v>76</v>
      </c>
      <c r="K77" t="s">
        <v>77</v>
      </c>
      <c r="L77" t="s">
        <v>78</v>
      </c>
      <c r="M77" s="32">
        <v>0.1</v>
      </c>
      <c r="N77" t="s">
        <v>46</v>
      </c>
      <c r="O77" t="s">
        <v>41</v>
      </c>
      <c r="P77">
        <v>3100</v>
      </c>
      <c r="Q77">
        <v>5500</v>
      </c>
      <c r="R77">
        <v>2400</v>
      </c>
      <c r="S77" s="32">
        <v>0.43636363636363634</v>
      </c>
      <c r="T77">
        <v>550</v>
      </c>
      <c r="U77" t="s">
        <v>303</v>
      </c>
    </row>
    <row r="78" spans="1:21" x14ac:dyDescent="0.25">
      <c r="A78" t="s">
        <v>253</v>
      </c>
      <c r="B78" s="46">
        <v>46092</v>
      </c>
      <c r="C78" t="s">
        <v>87</v>
      </c>
      <c r="D78" t="s">
        <v>53</v>
      </c>
      <c r="E78" t="s">
        <v>86</v>
      </c>
      <c r="F78">
        <v>2</v>
      </c>
      <c r="G78">
        <v>2100</v>
      </c>
      <c r="H78">
        <v>4200</v>
      </c>
      <c r="I78" t="s">
        <v>118</v>
      </c>
      <c r="J78" t="s">
        <v>88</v>
      </c>
      <c r="K78" t="s">
        <v>89</v>
      </c>
      <c r="L78" t="s">
        <v>90</v>
      </c>
      <c r="M78" s="32">
        <v>7.0000000000000007E-2</v>
      </c>
      <c r="N78" t="s">
        <v>54</v>
      </c>
      <c r="O78" t="s">
        <v>37</v>
      </c>
      <c r="P78">
        <v>1100</v>
      </c>
      <c r="Q78">
        <v>4200</v>
      </c>
      <c r="R78">
        <v>3100</v>
      </c>
      <c r="S78" s="32">
        <v>0.73809523809523814</v>
      </c>
      <c r="T78">
        <v>294</v>
      </c>
      <c r="U78" t="s">
        <v>303</v>
      </c>
    </row>
    <row r="79" spans="1:21" x14ac:dyDescent="0.25">
      <c r="A79" t="s">
        <v>254</v>
      </c>
      <c r="B79" s="46">
        <v>46092</v>
      </c>
      <c r="C79" t="s">
        <v>95</v>
      </c>
      <c r="D79" t="s">
        <v>39</v>
      </c>
      <c r="E79" t="s">
        <v>88</v>
      </c>
      <c r="F79">
        <v>1</v>
      </c>
      <c r="G79">
        <v>3200</v>
      </c>
      <c r="H79">
        <v>3200</v>
      </c>
      <c r="I79" t="s">
        <v>118</v>
      </c>
      <c r="J79" t="s">
        <v>96</v>
      </c>
      <c r="K79" t="s">
        <v>89</v>
      </c>
      <c r="L79" t="s">
        <v>90</v>
      </c>
      <c r="M79" s="32">
        <v>7.0000000000000007E-2</v>
      </c>
      <c r="N79" t="s">
        <v>40</v>
      </c>
      <c r="O79" t="s">
        <v>41</v>
      </c>
      <c r="P79">
        <v>1750</v>
      </c>
      <c r="Q79">
        <v>3200</v>
      </c>
      <c r="R79">
        <v>1450</v>
      </c>
      <c r="S79" s="32">
        <v>0.453125</v>
      </c>
      <c r="T79">
        <v>224.00000000000003</v>
      </c>
      <c r="U79" t="s">
        <v>303</v>
      </c>
    </row>
    <row r="80" spans="1:21" x14ac:dyDescent="0.25">
      <c r="A80" t="s">
        <v>256</v>
      </c>
      <c r="B80" s="46">
        <v>46093</v>
      </c>
      <c r="C80" t="s">
        <v>91</v>
      </c>
      <c r="D80" t="s">
        <v>49</v>
      </c>
      <c r="E80" t="s">
        <v>92</v>
      </c>
      <c r="F80">
        <v>10</v>
      </c>
      <c r="G80">
        <v>350</v>
      </c>
      <c r="H80">
        <v>3500</v>
      </c>
      <c r="I80" t="s">
        <v>118</v>
      </c>
      <c r="J80" t="s">
        <v>92</v>
      </c>
      <c r="K80" t="s">
        <v>81</v>
      </c>
      <c r="L80" t="s">
        <v>82</v>
      </c>
      <c r="M80" s="32">
        <v>0.09</v>
      </c>
      <c r="N80" t="s">
        <v>50</v>
      </c>
      <c r="O80" t="s">
        <v>51</v>
      </c>
      <c r="P80">
        <v>140</v>
      </c>
      <c r="Q80">
        <v>3500</v>
      </c>
      <c r="R80">
        <v>3360</v>
      </c>
      <c r="S80" s="32">
        <v>0.96</v>
      </c>
      <c r="T80">
        <v>315</v>
      </c>
      <c r="U80" t="s">
        <v>303</v>
      </c>
    </row>
    <row r="81" spans="1:21" x14ac:dyDescent="0.25">
      <c r="A81" t="s">
        <v>258</v>
      </c>
      <c r="B81" s="46">
        <v>46094</v>
      </c>
      <c r="C81" t="s">
        <v>83</v>
      </c>
      <c r="D81" t="s">
        <v>59</v>
      </c>
      <c r="E81" t="s">
        <v>128</v>
      </c>
      <c r="F81">
        <v>5</v>
      </c>
      <c r="G81">
        <v>650</v>
      </c>
      <c r="H81">
        <v>3250</v>
      </c>
      <c r="I81" t="s">
        <v>118</v>
      </c>
      <c r="J81" t="s">
        <v>84</v>
      </c>
      <c r="K81" t="s">
        <v>73</v>
      </c>
      <c r="L81" t="s">
        <v>74</v>
      </c>
      <c r="M81" s="32">
        <v>0.08</v>
      </c>
      <c r="N81" t="s">
        <v>60</v>
      </c>
      <c r="O81" t="s">
        <v>37</v>
      </c>
      <c r="P81">
        <v>310</v>
      </c>
      <c r="Q81">
        <v>3250</v>
      </c>
      <c r="R81">
        <v>2940</v>
      </c>
      <c r="S81" s="32">
        <v>0.9046153846153846</v>
      </c>
      <c r="T81">
        <v>260</v>
      </c>
      <c r="U81" t="s">
        <v>303</v>
      </c>
    </row>
    <row r="82" spans="1:21" x14ac:dyDescent="0.25">
      <c r="A82" t="s">
        <v>260</v>
      </c>
      <c r="B82" s="46">
        <v>46095</v>
      </c>
      <c r="C82" t="s">
        <v>97</v>
      </c>
      <c r="D82" t="s">
        <v>43</v>
      </c>
      <c r="E82" t="s">
        <v>131</v>
      </c>
      <c r="F82">
        <v>3</v>
      </c>
      <c r="G82">
        <v>1800</v>
      </c>
      <c r="H82">
        <v>5400</v>
      </c>
      <c r="I82" t="s">
        <v>118</v>
      </c>
      <c r="J82" t="s">
        <v>98</v>
      </c>
      <c r="K82" t="s">
        <v>77</v>
      </c>
      <c r="L82" t="s">
        <v>78</v>
      </c>
      <c r="M82" s="32">
        <v>0.1</v>
      </c>
      <c r="N82" t="s">
        <v>44</v>
      </c>
      <c r="O82" t="s">
        <v>37</v>
      </c>
      <c r="P82">
        <v>950</v>
      </c>
      <c r="Q82">
        <v>5400</v>
      </c>
      <c r="R82">
        <v>4450</v>
      </c>
      <c r="S82" s="32">
        <v>0.82407407407407407</v>
      </c>
      <c r="T82">
        <v>540</v>
      </c>
      <c r="U82" t="s">
        <v>303</v>
      </c>
    </row>
  </sheetData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tabSelected="1" zoomScale="70" zoomScaleNormal="70" workbookViewId="0">
      <selection activeCell="B12" sqref="B12"/>
    </sheetView>
  </sheetViews>
  <sheetFormatPr defaultRowHeight="15" x14ac:dyDescent="0.25"/>
  <cols>
    <col min="1" max="1" width="50.140625" bestFit="1" customWidth="1"/>
    <col min="2" max="2" width="22" bestFit="1" customWidth="1"/>
    <col min="3" max="3" width="26.85546875" bestFit="1" customWidth="1"/>
    <col min="4" max="4" width="22.85546875" bestFit="1" customWidth="1"/>
    <col min="5" max="5" width="22.42578125" bestFit="1" customWidth="1"/>
    <col min="6" max="6" width="13.140625" bestFit="1" customWidth="1"/>
    <col min="7" max="7" width="14.140625" bestFit="1" customWidth="1"/>
    <col min="8" max="8" width="23.7109375" bestFit="1" customWidth="1"/>
    <col min="9" max="9" width="5.42578125" bestFit="1" customWidth="1"/>
    <col min="10" max="10" width="11.28515625" bestFit="1" customWidth="1"/>
    <col min="11" max="11" width="7" bestFit="1" customWidth="1"/>
    <col min="12" max="12" width="28.7109375" bestFit="1" customWidth="1"/>
    <col min="13" max="13" width="33.5703125" bestFit="1" customWidth="1"/>
    <col min="14" max="14" width="17.5703125" bestFit="1" customWidth="1"/>
    <col min="15" max="15" width="14.85546875" bestFit="1" customWidth="1"/>
    <col min="16" max="16" width="28.7109375" bestFit="1" customWidth="1"/>
    <col min="17" max="17" width="33.5703125" bestFit="1" customWidth="1"/>
  </cols>
  <sheetData>
    <row r="1" spans="1:5" ht="38.1" customHeight="1" x14ac:dyDescent="0.25">
      <c r="A1" s="16" t="s">
        <v>262</v>
      </c>
      <c r="B1" s="16"/>
      <c r="C1" s="16"/>
      <c r="D1" s="16"/>
      <c r="E1" s="16"/>
    </row>
    <row r="2" spans="1:5" x14ac:dyDescent="0.25">
      <c r="A2" s="17" t="s">
        <v>263</v>
      </c>
      <c r="B2" s="17"/>
      <c r="C2" s="42" t="s">
        <v>318</v>
      </c>
      <c r="D2" s="17"/>
      <c r="E2" s="17"/>
    </row>
    <row r="3" spans="1:5" x14ac:dyDescent="0.25">
      <c r="A3" s="17" t="s">
        <v>264</v>
      </c>
      <c r="B3" s="17"/>
      <c r="C3" s="17" t="s">
        <v>265</v>
      </c>
      <c r="D3" s="17"/>
      <c r="E3" s="17"/>
    </row>
    <row r="4" spans="1:5" x14ac:dyDescent="0.25">
      <c r="A4" s="17"/>
      <c r="B4" s="17"/>
      <c r="C4" s="17"/>
      <c r="D4" s="17"/>
      <c r="E4" s="17"/>
    </row>
    <row r="5" spans="1:5" ht="21.95" customHeight="1" x14ac:dyDescent="0.25">
      <c r="A5" s="18" t="s">
        <v>266</v>
      </c>
      <c r="B5" s="18"/>
      <c r="C5" s="18"/>
      <c r="D5" s="18"/>
      <c r="E5" s="18"/>
    </row>
    <row r="6" spans="1:5" x14ac:dyDescent="0.25">
      <c r="A6" s="40" t="s">
        <v>308</v>
      </c>
      <c r="B6" s="17"/>
      <c r="C6" s="40" t="s">
        <v>314</v>
      </c>
      <c r="D6" s="17"/>
      <c r="E6" s="17"/>
    </row>
    <row r="7" spans="1:5" ht="25.5" x14ac:dyDescent="0.25">
      <c r="A7" s="40" t="s">
        <v>311</v>
      </c>
      <c r="B7" s="17"/>
      <c r="C7" s="40" t="s">
        <v>315</v>
      </c>
      <c r="D7" s="17"/>
      <c r="E7" s="17"/>
    </row>
    <row r="8" spans="1:5" ht="25.5" x14ac:dyDescent="0.25">
      <c r="A8" s="40" t="s">
        <v>312</v>
      </c>
      <c r="B8" s="17"/>
      <c r="C8" s="40" t="s">
        <v>316</v>
      </c>
      <c r="D8" s="17"/>
      <c r="E8" s="17"/>
    </row>
    <row r="9" spans="1:5" x14ac:dyDescent="0.25">
      <c r="A9" s="40" t="s">
        <v>313</v>
      </c>
      <c r="B9" s="17"/>
      <c r="C9" s="40" t="s">
        <v>317</v>
      </c>
      <c r="D9" s="17"/>
      <c r="E9" s="17"/>
    </row>
    <row r="10" spans="1:5" x14ac:dyDescent="0.25">
      <c r="A10" s="17"/>
      <c r="B10" s="17"/>
      <c r="C10" s="17"/>
      <c r="D10" s="17"/>
      <c r="E10" s="17"/>
    </row>
    <row r="11" spans="1:5" ht="21.95" customHeight="1" x14ac:dyDescent="0.25">
      <c r="A11" s="19" t="s">
        <v>267</v>
      </c>
      <c r="B11" s="19"/>
      <c r="C11" s="19"/>
      <c r="D11" s="19"/>
      <c r="E11" s="19"/>
    </row>
    <row r="12" spans="1:5" x14ac:dyDescent="0.25">
      <c r="A12" s="20" t="s">
        <v>67</v>
      </c>
      <c r="B12" s="20" t="s">
        <v>268</v>
      </c>
      <c r="C12" s="20" t="s">
        <v>103</v>
      </c>
      <c r="D12" s="20" t="s">
        <v>269</v>
      </c>
      <c r="E12" s="20" t="s">
        <v>270</v>
      </c>
    </row>
    <row r="13" spans="1:5" x14ac:dyDescent="0.25">
      <c r="A13" s="17" t="s">
        <v>73</v>
      </c>
      <c r="B13" s="17">
        <v>25</v>
      </c>
      <c r="C13" s="37">
        <v>171720</v>
      </c>
      <c r="D13" s="37">
        <v>124150</v>
      </c>
      <c r="E13" s="39">
        <f>D13/C13</f>
        <v>0.72297926857675288</v>
      </c>
    </row>
    <row r="14" spans="1:5" x14ac:dyDescent="0.25">
      <c r="A14" s="17" t="s">
        <v>77</v>
      </c>
      <c r="B14" s="17">
        <v>24</v>
      </c>
      <c r="C14" s="37">
        <v>143280</v>
      </c>
      <c r="D14" s="37">
        <v>94655</v>
      </c>
      <c r="E14" s="39">
        <f t="shared" ref="E14:E17" si="0">D14/C14</f>
        <v>0.66062953657174761</v>
      </c>
    </row>
    <row r="15" spans="1:5" x14ac:dyDescent="0.25">
      <c r="A15" s="17" t="s">
        <v>81</v>
      </c>
      <c r="B15" s="17">
        <v>16</v>
      </c>
      <c r="C15" s="37">
        <v>110060</v>
      </c>
      <c r="D15" s="37">
        <v>73345</v>
      </c>
      <c r="E15" s="39">
        <f t="shared" si="0"/>
        <v>0.66640923132836638</v>
      </c>
    </row>
    <row r="16" spans="1:5" x14ac:dyDescent="0.25">
      <c r="A16" s="17" t="s">
        <v>89</v>
      </c>
      <c r="B16" s="17">
        <v>15</v>
      </c>
      <c r="C16" s="37">
        <v>73970</v>
      </c>
      <c r="D16" s="37">
        <v>43195</v>
      </c>
      <c r="E16" s="39">
        <f t="shared" si="0"/>
        <v>0.58395295390022983</v>
      </c>
    </row>
    <row r="17" spans="1:5" x14ac:dyDescent="0.25">
      <c r="A17" s="21" t="s">
        <v>271</v>
      </c>
      <c r="B17" s="21">
        <v>80</v>
      </c>
      <c r="C17" s="38">
        <v>499030</v>
      </c>
      <c r="D17" s="38">
        <v>335345</v>
      </c>
      <c r="E17" s="41">
        <f>D17/C17</f>
        <v>0.67199366771536784</v>
      </c>
    </row>
    <row r="18" spans="1:5" x14ac:dyDescent="0.25">
      <c r="A18" s="17"/>
      <c r="B18" s="17"/>
      <c r="C18" s="17"/>
      <c r="D18" s="17"/>
      <c r="E18" s="17"/>
    </row>
    <row r="19" spans="1:5" ht="21.95" customHeight="1" x14ac:dyDescent="0.25">
      <c r="A19" s="19" t="s">
        <v>272</v>
      </c>
      <c r="B19" s="19"/>
      <c r="C19" s="19"/>
      <c r="D19" s="19"/>
      <c r="E19" s="19"/>
    </row>
    <row r="20" spans="1:5" x14ac:dyDescent="0.25">
      <c r="A20" s="20" t="s">
        <v>31</v>
      </c>
      <c r="B20" s="20" t="s">
        <v>268</v>
      </c>
      <c r="C20" s="20" t="s">
        <v>103</v>
      </c>
      <c r="D20" s="20" t="s">
        <v>273</v>
      </c>
      <c r="E20" s="20" t="s">
        <v>270</v>
      </c>
    </row>
    <row r="21" spans="1:5" x14ac:dyDescent="0.25">
      <c r="A21" s="17" t="s">
        <v>37</v>
      </c>
      <c r="B21" s="17">
        <v>44</v>
      </c>
      <c r="C21" s="17">
        <v>346150</v>
      </c>
      <c r="D21" s="17">
        <v>230400</v>
      </c>
      <c r="E21" s="39">
        <f>D21/C21</f>
        <v>0.6656073956377293</v>
      </c>
    </row>
    <row r="22" spans="1:5" x14ac:dyDescent="0.25">
      <c r="A22" s="17" t="s">
        <v>41</v>
      </c>
      <c r="B22" s="17">
        <v>18</v>
      </c>
      <c r="C22" s="17">
        <v>92000</v>
      </c>
      <c r="D22" s="17">
        <v>71700</v>
      </c>
      <c r="E22" s="39">
        <f t="shared" ref="E22:E24" si="1">D22/C22</f>
        <v>0.77934782608695652</v>
      </c>
    </row>
    <row r="23" spans="1:5" x14ac:dyDescent="0.25">
      <c r="A23" s="17" t="s">
        <v>51</v>
      </c>
      <c r="B23" s="17">
        <v>18</v>
      </c>
      <c r="C23" s="17">
        <v>60880</v>
      </c>
      <c r="D23" s="17">
        <v>8390</v>
      </c>
      <c r="E23" s="39">
        <f t="shared" si="1"/>
        <v>0.13781208935611039</v>
      </c>
    </row>
    <row r="24" spans="1:5" x14ac:dyDescent="0.25">
      <c r="A24" s="21" t="s">
        <v>271</v>
      </c>
      <c r="B24" s="21">
        <v>80</v>
      </c>
      <c r="C24" s="21">
        <v>499030</v>
      </c>
      <c r="D24" s="21">
        <v>310490</v>
      </c>
      <c r="E24" s="41">
        <f t="shared" si="1"/>
        <v>0.62218704286315452</v>
      </c>
    </row>
    <row r="25" spans="1:5" x14ac:dyDescent="0.25">
      <c r="A25" s="17"/>
      <c r="B25" s="17"/>
      <c r="C25" s="17"/>
      <c r="D25" s="17"/>
      <c r="E25" s="17"/>
    </row>
    <row r="26" spans="1:5" ht="21.95" customHeight="1" x14ac:dyDescent="0.25">
      <c r="A26" s="19" t="s">
        <v>274</v>
      </c>
      <c r="B26" s="19"/>
      <c r="C26" s="19"/>
      <c r="D26" s="19"/>
      <c r="E26" s="19"/>
    </row>
    <row r="27" spans="1:5" ht="25.5" x14ac:dyDescent="0.25">
      <c r="A27" s="20" t="s">
        <v>66</v>
      </c>
      <c r="B27" s="20" t="s">
        <v>67</v>
      </c>
      <c r="C27" s="20" t="s">
        <v>103</v>
      </c>
      <c r="D27" s="20" t="s">
        <v>110</v>
      </c>
      <c r="E27" s="20" t="s">
        <v>111</v>
      </c>
    </row>
    <row r="28" spans="1:5" x14ac:dyDescent="0.25">
      <c r="A28" s="17" t="s">
        <v>94</v>
      </c>
      <c r="B28" s="17" t="s">
        <v>73</v>
      </c>
      <c r="C28" s="17">
        <v>90300</v>
      </c>
      <c r="D28" s="17">
        <v>7464</v>
      </c>
      <c r="E28" s="44" t="s">
        <v>309</v>
      </c>
    </row>
    <row r="29" spans="1:5" x14ac:dyDescent="0.25">
      <c r="A29" s="17" t="s">
        <v>72</v>
      </c>
      <c r="B29" s="17" t="s">
        <v>73</v>
      </c>
      <c r="C29" s="17">
        <v>58270</v>
      </c>
      <c r="D29" s="17">
        <v>4661.6000000000004</v>
      </c>
      <c r="E29" s="44" t="s">
        <v>309</v>
      </c>
    </row>
    <row r="30" spans="1:5" x14ac:dyDescent="0.25">
      <c r="A30" s="17" t="s">
        <v>92</v>
      </c>
      <c r="B30" s="17" t="s">
        <v>81</v>
      </c>
      <c r="C30" s="17">
        <v>56260</v>
      </c>
      <c r="D30" s="17">
        <v>5513.4</v>
      </c>
      <c r="E30" s="44" t="s">
        <v>309</v>
      </c>
    </row>
    <row r="31" spans="1:5" x14ac:dyDescent="0.25">
      <c r="A31" s="17" t="s">
        <v>80</v>
      </c>
      <c r="B31" s="17" t="s">
        <v>81</v>
      </c>
      <c r="C31" s="17">
        <v>53800</v>
      </c>
      <c r="D31" s="17">
        <v>4716</v>
      </c>
      <c r="E31" s="43" t="s">
        <v>310</v>
      </c>
    </row>
    <row r="32" spans="1:5" x14ac:dyDescent="0.25">
      <c r="A32" s="17" t="s">
        <v>86</v>
      </c>
      <c r="B32" s="17" t="s">
        <v>77</v>
      </c>
      <c r="C32" s="17">
        <v>52200</v>
      </c>
      <c r="D32" s="17">
        <v>5220</v>
      </c>
      <c r="E32" s="44" t="s">
        <v>309</v>
      </c>
    </row>
    <row r="33" spans="1:5" x14ac:dyDescent="0.25">
      <c r="A33" s="42" t="s">
        <v>76</v>
      </c>
      <c r="B33" s="17" t="s">
        <v>77</v>
      </c>
      <c r="C33" s="17">
        <v>47410</v>
      </c>
      <c r="D33" s="17">
        <v>4741</v>
      </c>
      <c r="E33" s="44" t="s">
        <v>309</v>
      </c>
    </row>
    <row r="34" spans="1:5" ht="21.95" customHeight="1" x14ac:dyDescent="0.25">
      <c r="A34" s="19" t="s">
        <v>275</v>
      </c>
      <c r="B34" s="19"/>
      <c r="C34" s="19"/>
      <c r="D34" s="19"/>
      <c r="E34" s="19"/>
    </row>
    <row r="35" spans="1:5" ht="25.5" x14ac:dyDescent="0.25">
      <c r="A35" s="20" t="s">
        <v>276</v>
      </c>
      <c r="B35" s="20" t="s">
        <v>268</v>
      </c>
      <c r="C35" s="20" t="s">
        <v>103</v>
      </c>
      <c r="D35" s="20" t="s">
        <v>277</v>
      </c>
      <c r="E35" s="20"/>
    </row>
    <row r="36" spans="1:5" x14ac:dyDescent="0.25">
      <c r="A36" s="17" t="s">
        <v>278</v>
      </c>
      <c r="B36" s="17">
        <v>30</v>
      </c>
      <c r="C36" s="17">
        <v>197030</v>
      </c>
      <c r="D36" s="17">
        <v>197030</v>
      </c>
      <c r="E36" s="17"/>
    </row>
    <row r="37" spans="1:5" x14ac:dyDescent="0.25">
      <c r="A37" s="17" t="s">
        <v>279</v>
      </c>
      <c r="B37" s="17">
        <v>30</v>
      </c>
      <c r="C37" s="17">
        <v>184030</v>
      </c>
      <c r="D37" s="17">
        <f>C37-C36/C37</f>
        <v>184028.92935934357</v>
      </c>
      <c r="E37" s="50"/>
    </row>
    <row r="38" spans="1:5" x14ac:dyDescent="0.25">
      <c r="A38" s="17" t="s">
        <v>280</v>
      </c>
      <c r="B38" s="17">
        <v>20</v>
      </c>
      <c r="C38" s="17">
        <v>117970</v>
      </c>
      <c r="D38" s="17">
        <f t="shared" ref="D38:D39" si="2">C38-C37/C38</f>
        <v>117968.44002712554</v>
      </c>
      <c r="E38" s="50"/>
    </row>
    <row r="39" spans="1:5" x14ac:dyDescent="0.25">
      <c r="A39" s="17"/>
      <c r="B39" s="49"/>
      <c r="C39" s="49"/>
      <c r="D39" s="17"/>
      <c r="E39" s="17"/>
    </row>
    <row r="40" spans="1:5" ht="21.95" customHeight="1" x14ac:dyDescent="0.25">
      <c r="A40" s="19" t="s">
        <v>281</v>
      </c>
      <c r="B40" s="19"/>
      <c r="C40" s="19"/>
      <c r="D40" s="19"/>
      <c r="E40" s="19"/>
    </row>
    <row r="41" spans="1:5" x14ac:dyDescent="0.25">
      <c r="A41" s="20" t="s">
        <v>99</v>
      </c>
      <c r="B41" s="20" t="s">
        <v>282</v>
      </c>
      <c r="C41" s="20" t="s">
        <v>283</v>
      </c>
      <c r="D41" s="20" t="s">
        <v>284</v>
      </c>
      <c r="E41" s="20" t="s">
        <v>285</v>
      </c>
    </row>
    <row r="42" spans="1:5" ht="25.5" x14ac:dyDescent="0.25">
      <c r="A42" s="22" t="s">
        <v>127</v>
      </c>
      <c r="B42" s="22" t="s">
        <v>286</v>
      </c>
      <c r="C42" s="22" t="s">
        <v>287</v>
      </c>
      <c r="D42" s="22"/>
      <c r="E42" s="22" t="s">
        <v>288</v>
      </c>
    </row>
    <row r="43" spans="1:5" ht="25.5" x14ac:dyDescent="0.25">
      <c r="A43" s="22" t="s">
        <v>143</v>
      </c>
      <c r="B43" s="22" t="s">
        <v>289</v>
      </c>
      <c r="C43" s="22" t="s">
        <v>290</v>
      </c>
      <c r="D43" s="22"/>
      <c r="E43" s="22" t="s">
        <v>291</v>
      </c>
    </row>
    <row r="44" spans="1:5" ht="25.5" x14ac:dyDescent="0.25">
      <c r="A44" s="22" t="s">
        <v>158</v>
      </c>
      <c r="B44" s="22" t="s">
        <v>286</v>
      </c>
      <c r="C44" s="22" t="s">
        <v>287</v>
      </c>
      <c r="D44" s="22"/>
      <c r="E44" s="22" t="s">
        <v>288</v>
      </c>
    </row>
    <row r="45" spans="1:5" ht="25.5" x14ac:dyDescent="0.25">
      <c r="A45" s="22" t="s">
        <v>165</v>
      </c>
      <c r="B45" s="22" t="s">
        <v>292</v>
      </c>
      <c r="C45" s="22" t="s">
        <v>293</v>
      </c>
      <c r="D45" s="22"/>
      <c r="E45" s="22" t="s">
        <v>288</v>
      </c>
    </row>
    <row r="46" spans="1:5" ht="25.5" x14ac:dyDescent="0.25">
      <c r="A46" s="22" t="s">
        <v>195</v>
      </c>
      <c r="B46" s="22" t="s">
        <v>286</v>
      </c>
      <c r="C46" s="22" t="s">
        <v>287</v>
      </c>
      <c r="D46" s="22"/>
      <c r="E46" s="22" t="s">
        <v>288</v>
      </c>
    </row>
    <row r="47" spans="1:5" ht="25.5" x14ac:dyDescent="0.25">
      <c r="A47" s="22" t="s">
        <v>205</v>
      </c>
      <c r="B47" s="22" t="s">
        <v>294</v>
      </c>
      <c r="C47" s="22" t="s">
        <v>293</v>
      </c>
      <c r="D47" s="22"/>
      <c r="E47" s="22" t="s">
        <v>288</v>
      </c>
    </row>
    <row r="48" spans="1:5" ht="25.5" x14ac:dyDescent="0.25">
      <c r="A48" s="22" t="s">
        <v>210</v>
      </c>
      <c r="B48" s="22" t="s">
        <v>289</v>
      </c>
      <c r="C48" s="22" t="s">
        <v>290</v>
      </c>
      <c r="D48" s="22"/>
      <c r="E48" s="22" t="s">
        <v>291</v>
      </c>
    </row>
    <row r="49" spans="1:5" ht="25.5" x14ac:dyDescent="0.25">
      <c r="A49" s="22" t="s">
        <v>248</v>
      </c>
      <c r="B49" s="22" t="s">
        <v>286</v>
      </c>
      <c r="C49" s="22" t="s">
        <v>287</v>
      </c>
      <c r="D49" s="22"/>
      <c r="E49" s="22" t="s">
        <v>288</v>
      </c>
    </row>
    <row r="50" spans="1:5" ht="25.5" x14ac:dyDescent="0.25">
      <c r="A50" s="22" t="s">
        <v>295</v>
      </c>
      <c r="B50" s="22" t="s">
        <v>296</v>
      </c>
      <c r="C50" s="22" t="s">
        <v>297</v>
      </c>
      <c r="D50" s="22"/>
      <c r="E50" s="22" t="s">
        <v>291</v>
      </c>
    </row>
    <row r="51" spans="1:5" x14ac:dyDescent="0.25">
      <c r="A51" s="17"/>
      <c r="B51" s="17"/>
      <c r="C51" s="17"/>
      <c r="D51" s="17"/>
      <c r="E51" s="17"/>
    </row>
    <row r="52" spans="1:5" ht="21.95" customHeight="1" x14ac:dyDescent="0.25">
      <c r="A52" s="19" t="s">
        <v>298</v>
      </c>
      <c r="B52" s="19"/>
      <c r="C52" s="19"/>
      <c r="D52" s="19"/>
      <c r="E52" s="19"/>
    </row>
    <row r="53" spans="1:5" ht="51" x14ac:dyDescent="0.25">
      <c r="A53" s="17" t="s">
        <v>299</v>
      </c>
      <c r="B53" s="17"/>
      <c r="C53" s="17"/>
      <c r="D53" s="17"/>
      <c r="E53" s="17"/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EEF03FE9970D4BA904A7A938F086D6" ma:contentTypeVersion="9" ma:contentTypeDescription="Create a new document." ma:contentTypeScope="" ma:versionID="2502d8cb00421e2ce73f263bdb00baff">
  <xsd:schema xmlns:xsd="http://www.w3.org/2001/XMLSchema" xmlns:xs="http://www.w3.org/2001/XMLSchema" xmlns:p="http://schemas.microsoft.com/office/2006/metadata/properties" xmlns:ns3="e22a046b-f3d7-452d-b27c-aa414f720391" targetNamespace="http://schemas.microsoft.com/office/2006/metadata/properties" ma:root="true" ma:fieldsID="6b4936264153d39573bb50163a233602" ns3:_="">
    <xsd:import namespace="e22a046b-f3d7-452d-b27c-aa414f7203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46b-f3d7-452d-b27c-aa414f7203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2a046b-f3d7-452d-b27c-aa414f720391" xsi:nil="true"/>
  </documentManagement>
</p:properties>
</file>

<file path=customXml/itemProps1.xml><?xml version="1.0" encoding="utf-8"?>
<ds:datastoreItem xmlns:ds="http://schemas.openxmlformats.org/officeDocument/2006/customXml" ds:itemID="{B19EF3AC-846C-4786-91CE-F322F1CFA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46b-f3d7-452d-b27c-aa414f720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4A1E9-AC1A-4EF9-A85A-DA342992D3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060BD5-A137-4882-9CE4-37BB09A24129}">
  <ds:schemaRefs>
    <ds:schemaRef ds:uri="http://purl.org/dc/terms/"/>
    <ds:schemaRef ds:uri="http://purl.org/dc/dcmitype/"/>
    <ds:schemaRef ds:uri="http://schemas.microsoft.com/office/2006/documentManagement/types"/>
    <ds:schemaRef ds:uri="e22a046b-f3d7-452d-b27c-aa414f720391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PRODUCT CATALOGUE</vt:lpstr>
      <vt:lpstr>STAFF TABLE</vt:lpstr>
      <vt:lpstr>RAW SALES DATA</vt:lpstr>
      <vt:lpstr>CLEANED DATA</vt:lpstr>
      <vt:lpstr>BOARD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Anotida Tyris  Kanzara</cp:lastModifiedBy>
  <dcterms:created xsi:type="dcterms:W3CDTF">2026-05-17T00:31:08Z</dcterms:created>
  <dcterms:modified xsi:type="dcterms:W3CDTF">2026-05-17T18:44:16Z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0x01010084EEF03FE9970D4BA904A7A938F086D6</vt:lpwstr>
  </property>
</Properties>
</file>