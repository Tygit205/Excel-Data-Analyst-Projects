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YPC\Documents\Excel Projects\"/>
    </mc:Choice>
  </mc:AlternateContent>
  <xr:revisionPtr revIDLastSave="0" documentId="8_{53677BDC-9F90-458E-A249-BD3A271A1F84}" xr6:coauthVersionLast="47" xr6:coauthVersionMax="47" xr10:uidLastSave="{00000000-0000-0000-0000-000000000000}"/>
  <bookViews>
    <workbookView xWindow="2445" yWindow="1905" windowWidth="15375" windowHeight="7875" activeTab="2" xr2:uid="{370691D4-711C-41B9-B304-D473A8574BE8}"/>
  </bookViews>
  <sheets>
    <sheet name="Employee Table" sheetId="1" r:id="rId1"/>
    <sheet name="Sales Transactions" sheetId="2" r:id="rId2"/>
    <sheet name="Report" sheetId="4" r:id="rId3"/>
  </sheets>
  <definedNames>
    <definedName name="_xlcn.WorksheetConnection_Project2.xlsxEmployeeTable1" hidden="1">EmployeeTable[]</definedName>
    <definedName name="_xlcn.WorksheetConnection_Project2.xlsxSalesTransactions1" hidden="1">SalesTransactions[]</definedName>
    <definedName name="Slicer_Rep_Name">#N/A</definedName>
  </definedNames>
  <calcPr calcId="191028"/>
  <pivotCaches>
    <pivotCache cacheId="225" r:id="rId4"/>
  </pivotCaches>
  <extLst>
    <ext xmlns:x14="http://schemas.microsoft.com/office/spreadsheetml/2009/9/main" uri="{876F7934-8845-4945-9796-88D515C7AA90}">
      <x14:pivotCaches>
        <pivotCache cacheId="18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Transactions" name="SalesTransactions" connection="WorksheetConnection_Project 2.xlsx!SalesTransactions"/>
          <x15:modelTable id="EmployeeTable" name="EmployeeTable" connection="WorksheetConnection_Project 2.xlsx!EmployeeTable "/>
        </x15:modelTables>
        <x15:modelRelationships>
          <x15:modelRelationship fromTable="SalesTransactions" fromColumn="EmployeeID" toTable="EmployeeTable" toColumn="Employe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2" l="1"/>
  <c r="H6" i="2"/>
  <c r="H7" i="2"/>
  <c r="H8" i="2"/>
  <c r="H9" i="2"/>
  <c r="H10" i="2"/>
  <c r="H11" i="2"/>
  <c r="H12" i="2"/>
  <c r="H13" i="2"/>
  <c r="H4" i="2"/>
  <c r="G6" i="2"/>
  <c r="G8" i="2"/>
  <c r="G13" i="2"/>
  <c r="G12" i="2"/>
  <c r="G11" i="2"/>
  <c r="G10" i="2"/>
  <c r="G9" i="2"/>
  <c r="G7" i="2"/>
  <c r="G5" i="2"/>
  <c r="G4" i="2"/>
  <c r="F8" i="2"/>
  <c r="F10" i="2"/>
  <c r="F12" i="2"/>
  <c r="F13" i="2"/>
  <c r="F11" i="2"/>
  <c r="F9" i="2"/>
  <c r="F6" i="2"/>
  <c r="F7" i="2"/>
  <c r="F5" i="2"/>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roject 2.xlsx!EmployeeTable " type="102" refreshedVersion="8" minRefreshableVersion="5">
    <extLst>
      <ext xmlns:x15="http://schemas.microsoft.com/office/spreadsheetml/2010/11/main" uri="{DE250136-89BD-433C-8126-D09CA5730AF9}">
        <x15:connection id="EmployeeTable" autoDelete="1">
          <x15:rangePr sourceName="_xlcn.WorksheetConnection_Project2.xlsxEmployeeTable1"/>
        </x15:connection>
      </ext>
    </extLst>
  </connection>
  <connection id="3" xr16:uid="{00000000-0015-0000-FFFF-FFFF02000000}" name="WorksheetConnection_Project 2.xlsx!SalesTransactions" type="102" refreshedVersion="8" minRefreshableVersion="5">
    <extLst>
      <ext xmlns:x15="http://schemas.microsoft.com/office/spreadsheetml/2010/11/main" uri="{DE250136-89BD-433C-8126-D09CA5730AF9}">
        <x15:connection id="SalesTransactions">
          <x15:rangePr sourceName="_xlcn.WorksheetConnection_Project2.xlsxSalesTransactions1"/>
        </x15:connection>
      </ext>
    </extLst>
  </connection>
</connections>
</file>

<file path=xl/sharedStrings.xml><?xml version="1.0" encoding="utf-8"?>
<sst xmlns="http://schemas.openxmlformats.org/spreadsheetml/2006/main" count="66" uniqueCount="43">
  <si>
    <t>EmployeeID</t>
  </si>
  <si>
    <t>Rep Name</t>
  </si>
  <si>
    <t>Region</t>
  </si>
  <si>
    <t>Commission Rate</t>
  </si>
  <si>
    <t>E101</t>
  </si>
  <si>
    <t>Thabo Nkosi</t>
  </si>
  <si>
    <t>Gauteng</t>
  </si>
  <si>
    <t>E102</t>
  </si>
  <si>
    <t>Priya Pillay</t>
  </si>
  <si>
    <t>KZN</t>
  </si>
  <si>
    <t>E103</t>
  </si>
  <si>
    <t>Zanele Dlamini</t>
  </si>
  <si>
    <t>Western Cape</t>
  </si>
  <si>
    <t>E104</t>
  </si>
  <si>
    <t>Riaan Botha</t>
  </si>
  <si>
    <t>E105</t>
  </si>
  <si>
    <t>Amahle Zulu</t>
  </si>
  <si>
    <t>TransactionID</t>
  </si>
  <si>
    <t>Date</t>
  </si>
  <si>
    <t>Product Sold</t>
  </si>
  <si>
    <t>Sale Amount (R)</t>
  </si>
  <si>
    <t>Commission Earned</t>
  </si>
  <si>
    <t>S2001</t>
  </si>
  <si>
    <t>Laptop</t>
  </si>
  <si>
    <t>S2002</t>
  </si>
  <si>
    <t>Monitor</t>
  </si>
  <si>
    <t>S2003</t>
  </si>
  <si>
    <t>Keyboard</t>
  </si>
  <si>
    <t>S2004</t>
  </si>
  <si>
    <t>S2005</t>
  </si>
  <si>
    <t>USB Hub</t>
  </si>
  <si>
    <t>S2006</t>
  </si>
  <si>
    <t>Headset</t>
  </si>
  <si>
    <t>S2007</t>
  </si>
  <si>
    <t>S2008</t>
  </si>
  <si>
    <t>Webcam</t>
  </si>
  <si>
    <t>S2009</t>
  </si>
  <si>
    <t>S2010</t>
  </si>
  <si>
    <t>Mouse</t>
  </si>
  <si>
    <t>Row Labels</t>
  </si>
  <si>
    <t>Grand Total</t>
  </si>
  <si>
    <t>Sum of Commission Earned</t>
  </si>
  <si>
    <t>Sum of Sale Amount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</si>
</sst>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430]* #,##0.00_-;\-[$R-430]* #,##0.00_-;_-[$R-430]*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9" fontId="0" fillId="0" borderId="0" xfId="0" applyNumberFormat="1"/>
    <xf numFmtId="14"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cellXfs>
  <cellStyles count="2">
    <cellStyle name="Normal" xfId="0" builtinId="0"/>
    <cellStyle name="Percent" xfId="1" builtinId="5"/>
  </cellStyles>
  <dxfs count="23">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64" formatCode="_-[$R-430]* #,##0.00_-;\-[$R-430]* #,##0.00_-;_-[$R-430]* &quot;-&quot;??_-;_-@_-"/>
    </dxf>
    <dxf>
      <numFmt numFmtId="13" formatCode="0%"/>
    </dxf>
    <dxf>
      <numFmt numFmtId="164" formatCode="_-[$R-430]* #,##0.00_-;\-[$R-430]* #,##0.00_-;_-[$R-430]* &quot;-&quot;??_-;_-@_-"/>
    </dxf>
    <dxf>
      <font>
        <b val="0"/>
        <i val="0"/>
        <strike val="0"/>
        <condense val="0"/>
        <extend val="0"/>
        <outline val="0"/>
        <shadow val="0"/>
        <u val="none"/>
        <vertAlign val="baseline"/>
        <sz val="11"/>
        <color theme="1"/>
        <name val="Aptos Narrow"/>
        <family val="2"/>
        <scheme val="minor"/>
      </font>
    </dxf>
    <dxf>
      <numFmt numFmtId="164" formatCode="_-[$R-430]* #,##0.00_-;\-[$R-430]* #,##0.00_-;_-[$R-430]*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2.xlsx]Report!PivotTable1</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Report!$B$3</c:f>
              <c:strCache>
                <c:ptCount val="1"/>
                <c:pt idx="0">
                  <c:v>Sum of Sale Amount (R)</c:v>
                </c:pt>
              </c:strCache>
            </c:strRef>
          </c:tx>
          <c:spPr>
            <a:solidFill>
              <a:schemeClr val="accent1"/>
            </a:solidFill>
            <a:ln>
              <a:noFill/>
            </a:ln>
            <a:effectLst/>
            <a:sp3d/>
          </c:spPr>
          <c:invertIfNegative val="0"/>
          <c:cat>
            <c:strRef>
              <c:f>Report!$A$4:$A$9</c:f>
              <c:strCache>
                <c:ptCount val="5"/>
                <c:pt idx="0">
                  <c:v>Zanele Dlamini</c:v>
                </c:pt>
                <c:pt idx="1">
                  <c:v>Priya Pillay</c:v>
                </c:pt>
                <c:pt idx="2">
                  <c:v>Amahle Zulu</c:v>
                </c:pt>
                <c:pt idx="3">
                  <c:v>Thabo Nkosi</c:v>
                </c:pt>
                <c:pt idx="4">
                  <c:v>Riaan Botha</c:v>
                </c:pt>
              </c:strCache>
            </c:strRef>
          </c:cat>
          <c:val>
            <c:numRef>
              <c:f>Report!$B$4:$B$9</c:f>
              <c:numCache>
                <c:formatCode>_-[$R-430]* #,##0.00_-;\-[$R-430]* #,##0.00_-;_-[$R-430]* "-"??_-;_-@_-</c:formatCode>
                <c:ptCount val="5"/>
                <c:pt idx="0">
                  <c:v>17300</c:v>
                </c:pt>
                <c:pt idx="1">
                  <c:v>14250</c:v>
                </c:pt>
                <c:pt idx="2">
                  <c:v>13700</c:v>
                </c:pt>
                <c:pt idx="3">
                  <c:v>7100</c:v>
                </c:pt>
                <c:pt idx="4">
                  <c:v>1400</c:v>
                </c:pt>
              </c:numCache>
            </c:numRef>
          </c:val>
          <c:extLst>
            <c:ext xmlns:c16="http://schemas.microsoft.com/office/drawing/2014/chart" uri="{C3380CC4-5D6E-409C-BE32-E72D297353CC}">
              <c16:uniqueId val="{00000000-7D59-4C2B-A9DF-E9312E033F25}"/>
            </c:ext>
          </c:extLst>
        </c:ser>
        <c:ser>
          <c:idx val="1"/>
          <c:order val="1"/>
          <c:tx>
            <c:strRef>
              <c:f>Report!$C$3</c:f>
              <c:strCache>
                <c:ptCount val="1"/>
                <c:pt idx="0">
                  <c:v>Sum of Commission Earned</c:v>
                </c:pt>
              </c:strCache>
            </c:strRef>
          </c:tx>
          <c:spPr>
            <a:solidFill>
              <a:schemeClr val="accent2"/>
            </a:solidFill>
            <a:ln>
              <a:noFill/>
            </a:ln>
            <a:effectLst/>
            <a:sp3d/>
          </c:spPr>
          <c:invertIfNegative val="0"/>
          <c:cat>
            <c:strRef>
              <c:f>Report!$A$4:$A$9</c:f>
              <c:strCache>
                <c:ptCount val="5"/>
                <c:pt idx="0">
                  <c:v>Zanele Dlamini</c:v>
                </c:pt>
                <c:pt idx="1">
                  <c:v>Priya Pillay</c:v>
                </c:pt>
                <c:pt idx="2">
                  <c:v>Amahle Zulu</c:v>
                </c:pt>
                <c:pt idx="3">
                  <c:v>Thabo Nkosi</c:v>
                </c:pt>
                <c:pt idx="4">
                  <c:v>Riaan Botha</c:v>
                </c:pt>
              </c:strCache>
            </c:strRef>
          </c:cat>
          <c:val>
            <c:numRef>
              <c:f>Report!$C$4:$C$9</c:f>
              <c:numCache>
                <c:formatCode>_-[$R-430]* #,##0.00_-;\-[$R-430]* #,##0.00_-;_-[$R-430]* "-"??_-;_-@_-</c:formatCode>
                <c:ptCount val="5"/>
                <c:pt idx="0">
                  <c:v>1557</c:v>
                </c:pt>
                <c:pt idx="1">
                  <c:v>1425</c:v>
                </c:pt>
                <c:pt idx="2">
                  <c:v>1370</c:v>
                </c:pt>
                <c:pt idx="3">
                  <c:v>568</c:v>
                </c:pt>
                <c:pt idx="4">
                  <c:v>112</c:v>
                </c:pt>
              </c:numCache>
            </c:numRef>
          </c:val>
          <c:extLst>
            <c:ext xmlns:c16="http://schemas.microsoft.com/office/drawing/2014/chart" uri="{C3380CC4-5D6E-409C-BE32-E72D297353CC}">
              <c16:uniqueId val="{00000001-7D59-4C2B-A9DF-E9312E033F25}"/>
            </c:ext>
          </c:extLst>
        </c:ser>
        <c:dLbls>
          <c:showLegendKey val="0"/>
          <c:showVal val="0"/>
          <c:showCatName val="0"/>
          <c:showSerName val="0"/>
          <c:showPercent val="0"/>
          <c:showBubbleSize val="0"/>
        </c:dLbls>
        <c:gapWidth val="150"/>
        <c:shape val="box"/>
        <c:axId val="589181488"/>
        <c:axId val="589197808"/>
        <c:axId val="0"/>
      </c:bar3DChart>
      <c:catAx>
        <c:axId val="58918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97808"/>
        <c:crosses val="autoZero"/>
        <c:auto val="1"/>
        <c:lblAlgn val="ctr"/>
        <c:lblOffset val="100"/>
        <c:noMultiLvlLbl val="0"/>
      </c:catAx>
      <c:valAx>
        <c:axId val="589197808"/>
        <c:scaling>
          <c:orientation val="minMax"/>
        </c:scaling>
        <c:delete val="1"/>
        <c:axPos val="l"/>
        <c:majorGridlines>
          <c:spPr>
            <a:ln w="9525" cap="flat" cmpd="sng" algn="ctr">
              <a:solidFill>
                <a:schemeClr val="tx1">
                  <a:lumMod val="15000"/>
                  <a:lumOff val="85000"/>
                </a:schemeClr>
              </a:solidFill>
              <a:round/>
            </a:ln>
            <a:effectLst/>
          </c:spPr>
        </c:majorGridlines>
        <c:numFmt formatCode="_-[$R-430]* #,##0.00_-;\-[$R-430]* #,##0.00_-;_-[$R-430]* &quot;-&quot;??_-;_-@_-" sourceLinked="1"/>
        <c:majorTickMark val="none"/>
        <c:minorTickMark val="none"/>
        <c:tickLblPos val="nextTo"/>
        <c:crossAx val="5891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0</xdr:row>
      <xdr:rowOff>0</xdr:rowOff>
    </xdr:from>
    <xdr:to>
      <xdr:col>6</xdr:col>
      <xdr:colOff>390525</xdr:colOff>
      <xdr:row>14</xdr:row>
      <xdr:rowOff>0</xdr:rowOff>
    </xdr:to>
    <mc:AlternateContent xmlns:mc="http://schemas.openxmlformats.org/markup-compatibility/2006">
      <mc:Choice xmlns:a14="http://schemas.microsoft.com/office/drawing/2010/main" Requires="a14">
        <xdr:graphicFrame macro="">
          <xdr:nvGraphicFramePr>
            <xdr:cNvPr id="3" name="Rep Name">
              <a:extLst>
                <a:ext uri="{FF2B5EF4-FFF2-40B4-BE49-F238E27FC236}">
                  <a16:creationId xmlns:a16="http://schemas.microsoft.com/office/drawing/2014/main" id="{2F1CCF75-7F41-BC62-8AF0-946D94BD11C5}"/>
                </a:ext>
              </a:extLst>
            </xdr:cNvPr>
            <xdr:cNvGraphicFramePr/>
          </xdr:nvGraphicFramePr>
          <xdr:xfrm>
            <a:off x="0" y="0"/>
            <a:ext cx="0" cy="0"/>
          </xdr:xfrm>
          <a:graphic>
            <a:graphicData uri="http://schemas.microsoft.com/office/drawing/2010/slicer">
              <sle:slicer xmlns:sle="http://schemas.microsoft.com/office/drawing/2010/slicer" name="Rep Name"/>
            </a:graphicData>
          </a:graphic>
        </xdr:graphicFrame>
      </mc:Choice>
      <mc:Fallback>
        <xdr:sp macro="" textlink="">
          <xdr:nvSpPr>
            <xdr:cNvPr id="0" name=""/>
            <xdr:cNvSpPr>
              <a:spLocks noTextEdit="1"/>
            </xdr:cNvSpPr>
          </xdr:nvSpPr>
          <xdr:spPr>
            <a:xfrm>
              <a:off x="496252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xdr:colOff>
      <xdr:row>16</xdr:row>
      <xdr:rowOff>9525</xdr:rowOff>
    </xdr:from>
    <xdr:to>
      <xdr:col>9</xdr:col>
      <xdr:colOff>781050</xdr:colOff>
      <xdr:row>36</xdr:row>
      <xdr:rowOff>180975</xdr:rowOff>
    </xdr:to>
    <xdr:graphicFrame macro="">
      <xdr:nvGraphicFramePr>
        <xdr:cNvPr id="4" name="Chart 3">
          <a:extLst>
            <a:ext uri="{FF2B5EF4-FFF2-40B4-BE49-F238E27FC236}">
              <a16:creationId xmlns:a16="http://schemas.microsoft.com/office/drawing/2014/main" id="{56110CCA-F2FD-1D54-3BB7-73EE482A8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135.75949074074" backgroundQuery="1" createdVersion="8" refreshedVersion="8" minRefreshableVersion="3" recordCount="0" supportSubquery="1" supportAdvancedDrill="1" xr:uid="{60ACE6DA-E80F-4AC4-9238-3B0A3F35509C}">
  <cacheSource type="external" connectionId="1"/>
  <cacheFields count="4">
    <cacheField name="[EmployeeTable].[Rep Name].[Rep Name]" caption="Rep Name" numFmtId="0" hierarchy="1" level="1">
      <sharedItems count="5">
        <s v="Amahle Zulu"/>
        <s v="Priya Pillay"/>
        <s v="Riaan Botha"/>
        <s v="Thabo Nkosi"/>
        <s v="Zanele Dlamini"/>
      </sharedItems>
    </cacheField>
    <cacheField name="[SalesTransactions].[Product Sold].[Product Sold]" caption="Product Sold" numFmtId="0" hierarchy="7" level="1">
      <sharedItems count="2">
        <s v="Keyboard"/>
        <s v="Laptop"/>
      </sharedItems>
    </cacheField>
    <cacheField name="[Measures].[Sum of Sale Amount (R)]" caption="Sum of Sale Amount (R)" numFmtId="0" hierarchy="18" level="32767"/>
    <cacheField name="[Measures].[Sum of Commission Earned]" caption="Sum of Commission Earned" numFmtId="0" hierarchy="19" level="32767"/>
  </cacheFields>
  <cacheHierarchies count="20">
    <cacheHierarchy uniqueName="[EmployeeTable].[EmployeeID]" caption="EmployeeID" attribute="1" defaultMemberUniqueName="[EmployeeTable].[EmployeeID].[All]" allUniqueName="[EmployeeTable].[EmployeeID].[All]" dimensionUniqueName="[EmployeeTable]" displayFolder="" count="2" memberValueDatatype="130" unbalanced="0"/>
    <cacheHierarchy uniqueName="[EmployeeTable].[Rep Name]" caption="Rep Name" attribute="1" defaultMemberUniqueName="[EmployeeTable].[Rep Name].[All]" allUniqueName="[EmployeeTable].[Rep Name].[All]" dimensionUniqueName="[EmployeeTable]" displayFolder="" count="2" memberValueDatatype="130" unbalanced="0">
      <fieldsUsage count="2">
        <fieldUsage x="-1"/>
        <fieldUsage x="0"/>
      </fieldsUsage>
    </cacheHierarchy>
    <cacheHierarchy uniqueName="[EmployeeTable].[Region]" caption="Region" attribute="1" defaultMemberUniqueName="[EmployeeTable].[Region].[All]" allUniqueName="[EmployeeTable].[Region].[All]" dimensionUniqueName="[EmployeeTable]" displayFolder="" count="2" memberValueDatatype="130" unbalanced="0"/>
    <cacheHierarchy uniqueName="[EmployeeTable].[Commission Rate]" caption="Commission Rate" attribute="1" defaultMemberUniqueName="[EmployeeTable].[Commission Rate].[All]" allUniqueName="[EmployeeTable].[Commission Rate].[All]" dimensionUniqueName="[EmployeeTable]" displayFolder="" count="2" memberValueDatatype="5" unbalanced="0"/>
    <cacheHierarchy uniqueName="[SalesTransactions].[TransactionID]" caption="TransactionID" attribute="1" defaultMemberUniqueName="[SalesTransactions].[TransactionID].[All]" allUniqueName="[SalesTransactions].[TransactionID].[All]" dimensionUniqueName="[SalesTransactions]" displayFolder="" count="2" memberValueDatatype="130" unbalanced="0"/>
    <cacheHierarchy uniqueName="[SalesTransactions].[Date]" caption="Date" attribute="1" time="1" defaultMemberUniqueName="[SalesTransactions].[Date].[All]" allUniqueName="[SalesTransactions].[Date].[All]" dimensionUniqueName="[SalesTransactions]" displayFolder="" count="2" memberValueDatatype="7" unbalanced="0"/>
    <cacheHierarchy uniqueName="[SalesTransactions].[EmployeeID]" caption="EmployeeID" attribute="1" defaultMemberUniqueName="[SalesTransactions].[EmployeeID].[All]" allUniqueName="[SalesTransactions].[EmployeeID].[All]" dimensionUniqueName="[SalesTransactions]" displayFolder="" count="2" memberValueDatatype="130" unbalanced="0"/>
    <cacheHierarchy uniqueName="[SalesTransactions].[Product Sold]" caption="Product Sold" attribute="1" defaultMemberUniqueName="[SalesTransactions].[Product Sold].[All]" allUniqueName="[SalesTransactions].[Product Sold].[All]" dimensionUniqueName="[SalesTransactions]" displayFolder="" count="2" memberValueDatatype="130" unbalanced="0">
      <fieldsUsage count="2">
        <fieldUsage x="-1"/>
        <fieldUsage x="1"/>
      </fieldsUsage>
    </cacheHierarchy>
    <cacheHierarchy uniqueName="[SalesTransactions].[Sale Amount (R)]" caption="Sale Amount (R)" attribute="1" defaultMemberUniqueName="[SalesTransactions].[Sale Amount (R)].[All]" allUniqueName="[SalesTransactions].[Sale Amount (R)].[All]" dimensionUniqueName="[SalesTransactions]" displayFolder="" count="2" memberValueDatatype="20" unbalanced="0"/>
    <cacheHierarchy uniqueName="[SalesTransactions].[Rep Name]" caption="Rep Name" attribute="1" defaultMemberUniqueName="[SalesTransactions].[Rep Name].[All]" allUniqueName="[SalesTransactions].[Rep Name].[All]" dimensionUniqueName="[SalesTransactions]" displayFolder="" count="2" memberValueDatatype="130" unbalanced="0"/>
    <cacheHierarchy uniqueName="[SalesTransactions].[Commission Rate]" caption="Commission Rate" attribute="1" defaultMemberUniqueName="[SalesTransactions].[Commission Rate].[All]" allUniqueName="[SalesTransactions].[Commission Rate].[All]" dimensionUniqueName="[SalesTransactions]" displayFolder="" count="2" memberValueDatatype="5" unbalanced="0"/>
    <cacheHierarchy uniqueName="[SalesTransactions].[Commission Earned]" caption="Commission Earned" attribute="1" defaultMemberUniqueName="[SalesTransactions].[Commission Earned].[All]" allUniqueName="[SalesTransactions].[Commission Earned].[All]" dimensionUniqueName="[SalesTransactions]" displayFolder="" count="2" memberValueDatatype="20" unbalanced="0"/>
    <cacheHierarchy uniqueName="[Measures].[__XL_Count EmployeeTable]" caption="__XL_Count EmployeeTable" measure="1" displayFolder="" measureGroup="EmployeeTable" count="0" hidden="1"/>
    <cacheHierarchy uniqueName="[Measures].[__XL_Count SalesTransactions]" caption="__XL_Count SalesTransactions" measure="1" displayFolder="" measureGroup="SalesTransactions" count="0" hidden="1"/>
    <cacheHierarchy uniqueName="[Measures].[__No measures defined]" caption="__No measures defined" measure="1" displayFolder="" count="0" hidden="1"/>
    <cacheHierarchy uniqueName="[Measures].[Sum of Commission Rate]" caption="Sum of Commission Rate" measure="1" displayFolder="" measureGroup="SalesTransactions" count="0" hidden="1">
      <extLst>
        <ext xmlns:x15="http://schemas.microsoft.com/office/spreadsheetml/2010/11/main" uri="{B97F6D7D-B522-45F9-BDA1-12C45D357490}">
          <x15:cacheHierarchy aggregatedColumn="10"/>
        </ext>
      </extLst>
    </cacheHierarchy>
    <cacheHierarchy uniqueName="[Measures].[Sum of Commission Rate 2]" caption="Sum of Commission Rate 2" measure="1" displayFolder="" measureGroup="EmployeeTable" count="0" hidden="1">
      <extLst>
        <ext xmlns:x15="http://schemas.microsoft.com/office/spreadsheetml/2010/11/main" uri="{B97F6D7D-B522-45F9-BDA1-12C45D357490}">
          <x15:cacheHierarchy aggregatedColumn="3"/>
        </ext>
      </extLst>
    </cacheHierarchy>
    <cacheHierarchy uniqueName="[Measures].[Count of Commission Rate]" caption="Count of Commission Rate" measure="1" displayFolder="" measureGroup="EmployeeTable" count="0" hidden="1">
      <extLst>
        <ext xmlns:x15="http://schemas.microsoft.com/office/spreadsheetml/2010/11/main" uri="{B97F6D7D-B522-45F9-BDA1-12C45D357490}">
          <x15:cacheHierarchy aggregatedColumn="3"/>
        </ext>
      </extLst>
    </cacheHierarchy>
    <cacheHierarchy uniqueName="[Measures].[Sum of Sale Amount (R)]" caption="Sum of Sale Amount (R)" measure="1" displayFolder="" measureGroup="SalesTransaction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ommission Earned]" caption="Sum of Commission Earned" measure="1" displayFolder="" measureGroup="SalesTransactions"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3">
    <dimension name="EmployeeTable" uniqueName="[EmployeeTable]" caption="EmployeeTable"/>
    <dimension measure="1" name="Measures" uniqueName="[Measures]" caption="Measures"/>
    <dimension name="SalesTransactions" uniqueName="[SalesTransactions]" caption="SalesTransactions"/>
  </dimensions>
  <measureGroups count="2">
    <measureGroup name="EmployeeTable" caption="EmployeeTable"/>
    <measureGroup name="SalesTransactions" caption="Sales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135.739962615742" backgroundQuery="1" createdVersion="3" refreshedVersion="8" minRefreshableVersion="3" recordCount="0" supportSubquery="1" supportAdvancedDrill="1" xr:uid="{DB257E1F-29DD-4481-B9E3-8DC8A7FCE21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EmployeeTable].[EmployeeID]" caption="EmployeeID" attribute="1" defaultMemberUniqueName="[EmployeeTable].[EmployeeID].[All]" allUniqueName="[EmployeeTable].[EmployeeID].[All]" dimensionUniqueName="[EmployeeTable]" displayFolder="" count="0" memberValueDatatype="130" unbalanced="0"/>
    <cacheHierarchy uniqueName="[EmployeeTable].[Rep Name]" caption="Rep Name" attribute="1" defaultMemberUniqueName="[EmployeeTable].[Rep Name].[All]" allUniqueName="[EmployeeTable].[Rep Name].[All]" dimensionUniqueName="[EmployeeTable]" displayFolder="" count="2" memberValueDatatype="130" unbalanced="0"/>
    <cacheHierarchy uniqueName="[EmployeeTable].[Region]" caption="Region" attribute="1" defaultMemberUniqueName="[EmployeeTable].[Region].[All]" allUniqueName="[EmployeeTable].[Region].[All]" dimensionUniqueName="[EmployeeTable]" displayFolder="" count="0" memberValueDatatype="130" unbalanced="0"/>
    <cacheHierarchy uniqueName="[EmployeeTable].[Commission Rate]" caption="Commission Rate" attribute="1" defaultMemberUniqueName="[EmployeeTable].[Commission Rate].[All]" allUniqueName="[EmployeeTable].[Commission Rate].[All]" dimensionUniqueName="[EmployeeTable]" displayFolder="" count="0" memberValueDatatype="5" unbalanced="0"/>
    <cacheHierarchy uniqueName="[SalesTransactions].[TransactionID]" caption="TransactionID" attribute="1" defaultMemberUniqueName="[SalesTransactions].[TransactionID].[All]" allUniqueName="[SalesTransactions].[TransactionID].[All]" dimensionUniqueName="[SalesTransactions]" displayFolder="" count="0" memberValueDatatype="130" unbalanced="0"/>
    <cacheHierarchy uniqueName="[SalesTransactions].[Date]" caption="Date" attribute="1" time="1" defaultMemberUniqueName="[SalesTransactions].[Date].[All]" allUniqueName="[SalesTransactions].[Date].[All]" dimensionUniqueName="[SalesTransactions]" displayFolder="" count="0" memberValueDatatype="7" unbalanced="0"/>
    <cacheHierarchy uniqueName="[SalesTransactions].[EmployeeID]" caption="EmployeeID" attribute="1" defaultMemberUniqueName="[SalesTransactions].[EmployeeID].[All]" allUniqueName="[SalesTransactions].[EmployeeID].[All]" dimensionUniqueName="[SalesTransactions]" displayFolder="" count="0" memberValueDatatype="130" unbalanced="0"/>
    <cacheHierarchy uniqueName="[SalesTransactions].[Product Sold]" caption="Product Sold" attribute="1" defaultMemberUniqueName="[SalesTransactions].[Product Sold].[All]" allUniqueName="[SalesTransactions].[Product Sold].[All]" dimensionUniqueName="[SalesTransactions]" displayFolder="" count="2" memberValueDatatype="130" unbalanced="0"/>
    <cacheHierarchy uniqueName="[SalesTransactions].[Sale Amount (R)]" caption="Sale Amount (R)" attribute="1" defaultMemberUniqueName="[SalesTransactions].[Sale Amount (R)].[All]" allUniqueName="[SalesTransactions].[Sale Amount (R)].[All]" dimensionUniqueName="[SalesTransactions]" displayFolder="" count="0" memberValueDatatype="20" unbalanced="0"/>
    <cacheHierarchy uniqueName="[SalesTransactions].[Rep Name]" caption="Rep Name" attribute="1" defaultMemberUniqueName="[SalesTransactions].[Rep Name].[All]" allUniqueName="[SalesTransactions].[Rep Name].[All]" dimensionUniqueName="[SalesTransactions]" displayFolder="" count="0" memberValueDatatype="130" unbalanced="0"/>
    <cacheHierarchy uniqueName="[SalesTransactions].[Commission Rate]" caption="Commission Rate" attribute="1" defaultMemberUniqueName="[SalesTransactions].[Commission Rate].[All]" allUniqueName="[SalesTransactions].[Commission Rate].[All]" dimensionUniqueName="[SalesTransactions]" displayFolder="" count="0" memberValueDatatype="5" unbalanced="0"/>
    <cacheHierarchy uniqueName="[SalesTransactions].[Commission Earned]" caption="Commission Earned" attribute="1" defaultMemberUniqueName="[SalesTransactions].[Commission Earned].[All]" allUniqueName="[SalesTransactions].[Commission Earned].[All]" dimensionUniqueName="[SalesTransactions]" displayFolder="" count="0" memberValueDatatype="20" unbalanced="0"/>
    <cacheHierarchy uniqueName="[Measures].[__XL_Count EmployeeTable]" caption="__XL_Count EmployeeTable" measure="1" displayFolder="" measureGroup="EmployeeTable" count="0" hidden="1"/>
    <cacheHierarchy uniqueName="[Measures].[__XL_Count SalesTransactions]" caption="__XL_Count SalesTransactions" measure="1" displayFolder="" measureGroup="SalesTransactions" count="0" hidden="1"/>
    <cacheHierarchy uniqueName="[Measures].[__No measures defined]" caption="__No measures defined" measure="1" displayFolder="" count="0" hidden="1"/>
    <cacheHierarchy uniqueName="[Measures].[Sum of Commission Rate]" caption="Sum of Commission Rate" measure="1" displayFolder="" measureGroup="SalesTransactions" count="0" hidden="1">
      <extLst>
        <ext xmlns:x15="http://schemas.microsoft.com/office/spreadsheetml/2010/11/main" uri="{B97F6D7D-B522-45F9-BDA1-12C45D357490}">
          <x15:cacheHierarchy aggregatedColumn="10"/>
        </ext>
      </extLst>
    </cacheHierarchy>
    <cacheHierarchy uniqueName="[Measures].[Sum of Commission Rate 2]" caption="Sum of Commission Rate 2" measure="1" displayFolder="" measureGroup="EmployeeTable" count="0" hidden="1">
      <extLst>
        <ext xmlns:x15="http://schemas.microsoft.com/office/spreadsheetml/2010/11/main" uri="{B97F6D7D-B522-45F9-BDA1-12C45D357490}">
          <x15:cacheHierarchy aggregatedColumn="3"/>
        </ext>
      </extLst>
    </cacheHierarchy>
    <cacheHierarchy uniqueName="[Measures].[Count of Commission Rate]" caption="Count of Commission Rate" measure="1" displayFolder="" measureGroup="EmployeeTable" count="0" hidden="1">
      <extLst>
        <ext xmlns:x15="http://schemas.microsoft.com/office/spreadsheetml/2010/11/main" uri="{B97F6D7D-B522-45F9-BDA1-12C45D357490}">
          <x15:cacheHierarchy aggregatedColumn="3"/>
        </ext>
      </extLst>
    </cacheHierarchy>
    <cacheHierarchy uniqueName="[Measures].[Sum of Sale Amount (R)]" caption="Sum of Sale Amount (R)" measure="1" displayFolder="" measureGroup="SalesTransactions" count="0" hidden="1">
      <extLst>
        <ext xmlns:x15="http://schemas.microsoft.com/office/spreadsheetml/2010/11/main" uri="{B97F6D7D-B522-45F9-BDA1-12C45D357490}">
          <x15:cacheHierarchy aggregatedColumn="8"/>
        </ext>
      </extLst>
    </cacheHierarchy>
    <cacheHierarchy uniqueName="[Measures].[Sum of Commission Earned]" caption="Sum of Commission Earned" measure="1" displayFolder="" measureGroup="SalesTransaction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894617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B61C7-D2E2-4CA0-A476-9706EE94CC44}" name="PivotTable1" cacheId="2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C9"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allDrilled="1" subtotalTop="0" showAll="0" sortType="ascending" defaultSubtotal="0" defaultAttributeDrillState="1">
      <items count="2">
        <item x="0"/>
        <item x="1"/>
      </items>
    </pivotField>
    <pivotField dataField="1" subtotalTop="0" showAll="0" defaultSubtotal="0"/>
    <pivotField dataField="1" subtotalTop="0" showAll="0" defaultSubtotal="0"/>
  </pivotFields>
  <rowFields count="1">
    <field x="0"/>
  </rowFields>
  <rowItems count="6">
    <i>
      <x v="4"/>
    </i>
    <i>
      <x v="1"/>
    </i>
    <i>
      <x/>
    </i>
    <i>
      <x v="3"/>
    </i>
    <i>
      <x v="2"/>
    </i>
    <i t="grand">
      <x/>
    </i>
  </rowItems>
  <colFields count="1">
    <field x="-2"/>
  </colFields>
  <colItems count="2">
    <i>
      <x/>
    </i>
    <i i="1">
      <x v="1"/>
    </i>
  </colItems>
  <dataFields count="2">
    <dataField name="Sum of Sale Amount (R)" fld="2" baseField="0" baseItem="0"/>
    <dataField name="Sum of Commission Earned" fld="3" baseField="0" baseItem="0"/>
  </dataFields>
  <formats count="1">
    <format dxfId="3">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Table]"/>
        <x15:activeTabTopLevelEntity name="[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_Name" xr10:uid="{20DBDF9B-B75A-4361-B194-23F822F00FFC}" sourceName="[EmployeeTable].[Rep Name]">
  <pivotTables>
    <pivotTable tabId="4" name="PivotTable1"/>
  </pivotTables>
  <data>
    <olap pivotCacheId="489461792">
      <levels count="2">
        <level uniqueName="[EmployeeTable].[Rep Name].[(All)]" sourceCaption="(All)" count="0"/>
        <level uniqueName="[EmployeeTable].[Rep Name].[Rep Name]" sourceCaption="Rep Name" count="5">
          <ranges>
            <range startItem="0">
              <i n="[EmployeeTable].[Rep Name].&amp;[Amahle Zulu]" c="Amahle Zulu"/>
              <i n="[EmployeeTable].[Rep Name].&amp;[Priya Pillay]" c="Priya Pillay"/>
              <i n="[EmployeeTable].[Rep Name].&amp;[Riaan Botha]" c="Riaan Botha"/>
              <i n="[EmployeeTable].[Rep Name].&amp;[Thabo Nkosi]" c="Thabo Nkosi"/>
              <i n="[EmployeeTable].[Rep Name].&amp;[Zanele Dlamini]" c="Zanele Dlamini"/>
            </range>
          </ranges>
        </level>
      </levels>
      <selections count="1">
        <selection n="[EmployeeTable].[Rep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 Name" xr10:uid="{C21F93B8-F8A3-4DDA-B50A-81A64B26673E}" cache="Slicer_Rep_Name" caption="Rep Nam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D93BB3-EC57-4205-B98A-E2C7B04173DA}" name="EmployeeTable" displayName="EmployeeTable" ref="A1:D6" totalsRowShown="0">
  <autoFilter ref="A1:D6" xr:uid="{25D93BB3-EC57-4205-B98A-E2C7B04173DA}"/>
  <tableColumns count="4">
    <tableColumn id="1" xr3:uid="{078BB54E-0835-47FF-968D-697E0FBEE1FA}" name="EmployeeID"/>
    <tableColumn id="2" xr3:uid="{8B987E66-20CA-45A2-82C3-23C9693B77E8}" name="Rep Name"/>
    <tableColumn id="3" xr3:uid="{22A68D3F-FB39-49AF-953B-5E2429AC1FDC}" name="Region"/>
    <tableColumn id="4" xr3:uid="{11BE259A-ECAE-42A2-9534-22DB72347758}" name="Commission Rate"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AB9BFF-0BEA-4570-9AAD-09F5B3372B44}" name="SalesTransactions" displayName="SalesTransactions" ref="A3:H13" totalsRowShown="0">
  <autoFilter ref="A3:H13" xr:uid="{0CAB9BFF-0BEA-4570-9AAD-09F5B3372B44}"/>
  <tableColumns count="8">
    <tableColumn id="1" xr3:uid="{E00CD486-D5B8-4765-B317-7FA971675A9B}" name="TransactionID"/>
    <tableColumn id="2" xr3:uid="{780509FC-89A4-4284-8BC4-674BC19FD139}" name="Date" dataDxfId="22"/>
    <tableColumn id="3" xr3:uid="{44DF4355-1344-4CE4-922D-8E60C1092F29}" name="EmployeeID"/>
    <tableColumn id="4" xr3:uid="{36BC9FE5-EA15-471B-A445-5ED29BD86AB8}" name="Product Sold"/>
    <tableColumn id="5" xr3:uid="{518D1CC3-43C0-4E37-A682-3B2975E31295}" name="Sale Amount (R)" dataDxfId="21"/>
    <tableColumn id="6" xr3:uid="{6CDB8006-8957-49A2-AE47-75183C0A1B34}" name="Rep Name"/>
    <tableColumn id="7" xr3:uid="{2793F866-0DDE-4D66-BF19-3407D414E885}" name="Commission Rate" dataDxfId="20" dataCellStyle="Percent"/>
    <tableColumn id="8" xr3:uid="{75E9FC9E-085B-4860-9B0D-E28DF120BA92}" name="Commission Earned" dataDxfId="19">
      <calculatedColumnFormula>E4*G4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4E50-1D43-4FD1-8C5C-6B6801E4201D}">
  <dimension ref="A1:D6"/>
  <sheetViews>
    <sheetView workbookViewId="0">
      <selection activeCell="I19" sqref="I19"/>
    </sheetView>
  </sheetViews>
  <sheetFormatPr defaultRowHeight="15" x14ac:dyDescent="0.25"/>
  <cols>
    <col min="1" max="1" width="14.140625" customWidth="1"/>
    <col min="2" max="2" width="14.42578125" bestFit="1" customWidth="1"/>
    <col min="3" max="3" width="13.140625" bestFit="1" customWidth="1"/>
    <col min="4" max="4" width="19.140625" customWidth="1"/>
  </cols>
  <sheetData>
    <row r="1" spans="1:4" x14ac:dyDescent="0.25">
      <c r="A1" t="s">
        <v>0</v>
      </c>
      <c r="B1" t="s">
        <v>1</v>
      </c>
      <c r="C1" t="s">
        <v>2</v>
      </c>
      <c r="D1" t="s">
        <v>3</v>
      </c>
    </row>
    <row r="2" spans="1:4" x14ac:dyDescent="0.25">
      <c r="A2" t="s">
        <v>4</v>
      </c>
      <c r="B2" t="s">
        <v>5</v>
      </c>
      <c r="C2" t="s">
        <v>6</v>
      </c>
      <c r="D2" s="1">
        <v>0.08</v>
      </c>
    </row>
    <row r="3" spans="1:4" x14ac:dyDescent="0.25">
      <c r="A3" t="s">
        <v>7</v>
      </c>
      <c r="B3" t="s">
        <v>8</v>
      </c>
      <c r="C3" t="s">
        <v>9</v>
      </c>
      <c r="D3" s="1">
        <v>0.1</v>
      </c>
    </row>
    <row r="4" spans="1:4" x14ac:dyDescent="0.25">
      <c r="A4" t="s">
        <v>10</v>
      </c>
      <c r="B4" t="s">
        <v>11</v>
      </c>
      <c r="C4" t="s">
        <v>12</v>
      </c>
      <c r="D4" s="1">
        <v>0.09</v>
      </c>
    </row>
    <row r="5" spans="1:4" x14ac:dyDescent="0.25">
      <c r="A5" t="s">
        <v>13</v>
      </c>
      <c r="B5" t="s">
        <v>14</v>
      </c>
      <c r="C5" t="s">
        <v>6</v>
      </c>
      <c r="D5" s="1">
        <v>0.08</v>
      </c>
    </row>
    <row r="6" spans="1:4" x14ac:dyDescent="0.25">
      <c r="A6" t="s">
        <v>15</v>
      </c>
      <c r="B6" t="s">
        <v>16</v>
      </c>
      <c r="C6" t="s">
        <v>9</v>
      </c>
      <c r="D6" s="1">
        <v>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A666-6F16-4A4E-8A4A-DAD1F146A87A}">
  <dimension ref="A3:H13"/>
  <sheetViews>
    <sheetView workbookViewId="0">
      <selection activeCell="C22" sqref="C22"/>
    </sheetView>
  </sheetViews>
  <sheetFormatPr defaultRowHeight="15" x14ac:dyDescent="0.25"/>
  <cols>
    <col min="1" max="1" width="15.5703125" customWidth="1"/>
    <col min="2" max="2" width="13.140625" customWidth="1"/>
    <col min="3" max="3" width="14.140625" customWidth="1"/>
    <col min="4" max="4" width="14.5703125" customWidth="1"/>
    <col min="5" max="5" width="17.5703125" customWidth="1"/>
    <col min="6" max="6" width="14.42578125" bestFit="1" customWidth="1"/>
    <col min="7" max="7" width="19.140625" customWidth="1"/>
    <col min="8" max="8" width="21.28515625" customWidth="1"/>
  </cols>
  <sheetData>
    <row r="3" spans="1:8" x14ac:dyDescent="0.25">
      <c r="A3" t="s">
        <v>17</v>
      </c>
      <c r="B3" t="s">
        <v>18</v>
      </c>
      <c r="C3" t="s">
        <v>0</v>
      </c>
      <c r="D3" t="s">
        <v>19</v>
      </c>
      <c r="E3" t="s">
        <v>20</v>
      </c>
      <c r="F3" t="s">
        <v>1</v>
      </c>
      <c r="G3" t="s">
        <v>3</v>
      </c>
      <c r="H3" t="s">
        <v>21</v>
      </c>
    </row>
    <row r="4" spans="1:8" x14ac:dyDescent="0.25">
      <c r="A4" t="s">
        <v>22</v>
      </c>
      <c r="B4" s="2">
        <v>46126</v>
      </c>
      <c r="C4" t="s">
        <v>10</v>
      </c>
      <c r="D4" t="s">
        <v>23</v>
      </c>
      <c r="E4" s="4">
        <v>12500</v>
      </c>
      <c r="F4" t="str">
        <f>_xlfn.XLOOKUP('Sales Transactions'!C4,'Employee Table'!A2:A6,'Employee Table'!B2:B6)</f>
        <v>Zanele Dlamini</v>
      </c>
      <c r="G4" s="3">
        <f>_xlfn.XLOOKUP(C4,'Employee Table'!A2:A6,'Employee Table'!D2:D6)</f>
        <v>0.09</v>
      </c>
      <c r="H4" s="4">
        <f>E4*G4</f>
        <v>1125</v>
      </c>
    </row>
    <row r="5" spans="1:8" x14ac:dyDescent="0.25">
      <c r="A5" t="s">
        <v>24</v>
      </c>
      <c r="B5" s="2">
        <v>46126</v>
      </c>
      <c r="C5" t="s">
        <v>4</v>
      </c>
      <c r="D5" t="s">
        <v>25</v>
      </c>
      <c r="E5" s="4">
        <v>4800</v>
      </c>
      <c r="F5" t="str">
        <f>_xlfn.XLOOKUP(C5,'Employee Table'!A2:A6,'Employee Table'!B2:B6)</f>
        <v>Thabo Nkosi</v>
      </c>
      <c r="G5" s="3">
        <f>_xlfn.XLOOKUP(C5,'Employee Table'!A2:A6,'Employee Table'!D2:D6)</f>
        <v>0.08</v>
      </c>
      <c r="H5" s="4">
        <f t="shared" ref="H5:H13" si="0">E5*G5</f>
        <v>384</v>
      </c>
    </row>
    <row r="6" spans="1:8" x14ac:dyDescent="0.25">
      <c r="A6" t="s">
        <v>26</v>
      </c>
      <c r="B6" s="2">
        <v>46127</v>
      </c>
      <c r="C6" t="s">
        <v>15</v>
      </c>
      <c r="D6" t="s">
        <v>27</v>
      </c>
      <c r="E6" s="4">
        <v>1200</v>
      </c>
      <c r="F6" t="str">
        <f>_xlfn.XLOOKUP(C6,'Employee Table'!A2:A6,'Employee Table'!B2:B6)</f>
        <v>Amahle Zulu</v>
      </c>
      <c r="G6" s="3">
        <f>_xlfn.XLOOKUP(C6,'Employee Table'!A2:A6,'Employee Table'!D2:D6)</f>
        <v>0.1</v>
      </c>
      <c r="H6" s="4">
        <f t="shared" si="0"/>
        <v>120</v>
      </c>
    </row>
    <row r="7" spans="1:8" x14ac:dyDescent="0.25">
      <c r="A7" t="s">
        <v>28</v>
      </c>
      <c r="B7" s="2">
        <v>46127</v>
      </c>
      <c r="C7" t="s">
        <v>7</v>
      </c>
      <c r="D7" t="s">
        <v>23</v>
      </c>
      <c r="E7" s="4">
        <v>12500</v>
      </c>
      <c r="F7" t="str">
        <f>_xlfn.XLOOKUP(C7,'Employee Table'!A2:A6,'Employee Table'!B2:B6)</f>
        <v>Priya Pillay</v>
      </c>
      <c r="G7" s="3">
        <f>_xlfn.XLOOKUP(C7,'Employee Table'!A2:A6,'Employee Table'!D2:D6)</f>
        <v>0.1</v>
      </c>
      <c r="H7" s="4">
        <f t="shared" si="0"/>
        <v>1250</v>
      </c>
    </row>
    <row r="8" spans="1:8" x14ac:dyDescent="0.25">
      <c r="A8" t="s">
        <v>29</v>
      </c>
      <c r="B8" s="2">
        <v>46128</v>
      </c>
      <c r="C8" t="s">
        <v>13</v>
      </c>
      <c r="D8" t="s">
        <v>30</v>
      </c>
      <c r="E8" s="4">
        <v>950</v>
      </c>
      <c r="F8" t="str">
        <f>_xlfn.XLOOKUP(C8,'Employee Table'!A2:A6,'Employee Table'!B2:B6)</f>
        <v>Riaan Botha</v>
      </c>
      <c r="G8" s="3">
        <f>_xlfn.XLOOKUP(C8,'Employee Table'!A2:A6,'Employee Table'!D2:D6)</f>
        <v>0.08</v>
      </c>
      <c r="H8" s="4">
        <f t="shared" si="0"/>
        <v>76</v>
      </c>
    </row>
    <row r="9" spans="1:8" x14ac:dyDescent="0.25">
      <c r="A9" t="s">
        <v>31</v>
      </c>
      <c r="B9" s="2">
        <v>46128</v>
      </c>
      <c r="C9" t="s">
        <v>4</v>
      </c>
      <c r="D9" t="s">
        <v>32</v>
      </c>
      <c r="E9" s="4">
        <v>2300</v>
      </c>
      <c r="F9" t="str">
        <f>_xlfn.XLOOKUP(C9,'Employee Table'!A2:A6,'Employee Table'!B2:B6)</f>
        <v>Thabo Nkosi</v>
      </c>
      <c r="G9" s="3">
        <f>_xlfn.XLOOKUP(C9,'Employee Table'!A2:A6,'Employee Table'!D2:D6)</f>
        <v>0.08</v>
      </c>
      <c r="H9" s="4">
        <f t="shared" si="0"/>
        <v>184</v>
      </c>
    </row>
    <row r="10" spans="1:8" x14ac:dyDescent="0.25">
      <c r="A10" t="s">
        <v>33</v>
      </c>
      <c r="B10" s="2">
        <v>46128</v>
      </c>
      <c r="C10" t="s">
        <v>10</v>
      </c>
      <c r="D10" t="s">
        <v>25</v>
      </c>
      <c r="E10" s="4">
        <v>4800</v>
      </c>
      <c r="F10" t="str">
        <f>_xlfn.XLOOKUP(C10,'Employee Table'!A2:A6,'Employee Table'!B2:B6)</f>
        <v>Zanele Dlamini</v>
      </c>
      <c r="G10" s="3">
        <f>_xlfn.XLOOKUP(C10,'Employee Table'!A2:A6,'Employee Table'!D2:D6)</f>
        <v>0.09</v>
      </c>
      <c r="H10" s="4">
        <f t="shared" si="0"/>
        <v>432</v>
      </c>
    </row>
    <row r="11" spans="1:8" x14ac:dyDescent="0.25">
      <c r="A11" t="s">
        <v>34</v>
      </c>
      <c r="B11" s="2">
        <v>46129</v>
      </c>
      <c r="C11" t="s">
        <v>7</v>
      </c>
      <c r="D11" t="s">
        <v>35</v>
      </c>
      <c r="E11" s="4">
        <v>1750</v>
      </c>
      <c r="F11" t="str">
        <f>_xlfn.XLOOKUP(C11,'Employee Table'!A2:A6,'Employee Table'!B2:B6)</f>
        <v>Priya Pillay</v>
      </c>
      <c r="G11" s="3">
        <f>_xlfn.XLOOKUP(C11,'Employee Table'!A2:A6,'Employee Table'!D2:D6)</f>
        <v>0.1</v>
      </c>
      <c r="H11" s="4">
        <f t="shared" si="0"/>
        <v>175</v>
      </c>
    </row>
    <row r="12" spans="1:8" x14ac:dyDescent="0.25">
      <c r="A12" t="s">
        <v>36</v>
      </c>
      <c r="B12" s="2">
        <v>46130</v>
      </c>
      <c r="C12" t="s">
        <v>15</v>
      </c>
      <c r="D12" t="s">
        <v>23</v>
      </c>
      <c r="E12" s="4">
        <v>12500</v>
      </c>
      <c r="F12" t="str">
        <f>_xlfn.XLOOKUP(C12,'Employee Table'!A2:A6,'Employee Table'!B2:B6)</f>
        <v>Amahle Zulu</v>
      </c>
      <c r="G12" s="3">
        <f>_xlfn.XLOOKUP(C12,'Employee Table'!A2:A6,'Employee Table'!D2:D6)</f>
        <v>0.1</v>
      </c>
      <c r="H12" s="4">
        <f t="shared" si="0"/>
        <v>1250</v>
      </c>
    </row>
    <row r="13" spans="1:8" x14ac:dyDescent="0.25">
      <c r="A13" t="s">
        <v>37</v>
      </c>
      <c r="B13" s="2">
        <v>46130</v>
      </c>
      <c r="C13" t="s">
        <v>13</v>
      </c>
      <c r="D13" t="s">
        <v>38</v>
      </c>
      <c r="E13" s="4">
        <v>450</v>
      </c>
      <c r="F13" t="str">
        <f>_xlfn.XLOOKUP(C13,'Employee Table'!A2:A6,'Employee Table'!B2:B6)</f>
        <v>Riaan Botha</v>
      </c>
      <c r="G13" s="3">
        <f>_xlfn.XLOOKUP(C13,'Employee Table'!A2:A6,'Employee Table'!D2:D6)</f>
        <v>0.08</v>
      </c>
      <c r="H13" s="4">
        <f t="shared" si="0"/>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68D9-2C0E-4349-B05E-8500B8878BAC}">
  <dimension ref="A3:C9"/>
  <sheetViews>
    <sheetView tabSelected="1" topLeftCell="B19" workbookViewId="0">
      <selection activeCell="C8" sqref="C8"/>
    </sheetView>
  </sheetViews>
  <sheetFormatPr defaultRowHeight="15" x14ac:dyDescent="0.25"/>
  <cols>
    <col min="1" max="1" width="14.42578125" bestFit="1" customWidth="1"/>
    <col min="2" max="2" width="22.5703125" bestFit="1" customWidth="1"/>
    <col min="3" max="3" width="26.42578125" bestFit="1" customWidth="1"/>
    <col min="4" max="8" width="10.85546875" bestFit="1" customWidth="1"/>
    <col min="9" max="11" width="11.85546875" bestFit="1" customWidth="1"/>
    <col min="12" max="12" width="22.5703125" bestFit="1" customWidth="1"/>
    <col min="13" max="13" width="26.42578125" bestFit="1" customWidth="1"/>
    <col min="14" max="14" width="22.5703125" bestFit="1" customWidth="1"/>
    <col min="15" max="15" width="26.42578125" bestFit="1" customWidth="1"/>
    <col min="16" max="16" width="27.5703125" bestFit="1" customWidth="1"/>
    <col min="17" max="17" width="31.42578125" bestFit="1" customWidth="1"/>
  </cols>
  <sheetData>
    <row r="3" spans="1:3" x14ac:dyDescent="0.25">
      <c r="A3" s="5" t="s">
        <v>39</v>
      </c>
      <c r="B3" t="s">
        <v>42</v>
      </c>
      <c r="C3" t="s">
        <v>41</v>
      </c>
    </row>
    <row r="4" spans="1:3" x14ac:dyDescent="0.25">
      <c r="A4" s="6" t="s">
        <v>11</v>
      </c>
      <c r="B4" s="4">
        <v>17300</v>
      </c>
      <c r="C4" s="4">
        <v>1557</v>
      </c>
    </row>
    <row r="5" spans="1:3" x14ac:dyDescent="0.25">
      <c r="A5" s="6" t="s">
        <v>8</v>
      </c>
      <c r="B5" s="4">
        <v>14250</v>
      </c>
      <c r="C5" s="4">
        <v>1425</v>
      </c>
    </row>
    <row r="6" spans="1:3" x14ac:dyDescent="0.25">
      <c r="A6" s="6" t="s">
        <v>16</v>
      </c>
      <c r="B6" s="4">
        <v>13700</v>
      </c>
      <c r="C6" s="4">
        <v>1370</v>
      </c>
    </row>
    <row r="7" spans="1:3" x14ac:dyDescent="0.25">
      <c r="A7" s="6" t="s">
        <v>5</v>
      </c>
      <c r="B7" s="4">
        <v>7100</v>
      </c>
      <c r="C7" s="4">
        <v>568</v>
      </c>
    </row>
    <row r="8" spans="1:3" x14ac:dyDescent="0.25">
      <c r="A8" s="6" t="s">
        <v>14</v>
      </c>
      <c r="B8" s="4">
        <v>1400</v>
      </c>
      <c r="C8" s="4">
        <v>112</v>
      </c>
    </row>
    <row r="9" spans="1:3" x14ac:dyDescent="0.25">
      <c r="A9" s="6" t="s">
        <v>40</v>
      </c>
      <c r="B9" s="4">
        <v>53750</v>
      </c>
      <c r="C9" s="4">
        <v>5032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EEF03FE9970D4BA904A7A938F086D6" ma:contentTypeVersion="9" ma:contentTypeDescription="Create a new document." ma:contentTypeScope="" ma:versionID="2502d8cb00421e2ce73f263bdb00baff">
  <xsd:schema xmlns:xsd="http://www.w3.org/2001/XMLSchema" xmlns:xs="http://www.w3.org/2001/XMLSchema" xmlns:p="http://schemas.microsoft.com/office/2006/metadata/properties" xmlns:ns3="e22a046b-f3d7-452d-b27c-aa414f720391" targetNamespace="http://schemas.microsoft.com/office/2006/metadata/properties" ma:root="true" ma:fieldsID="6b4936264153d39573bb50163a233602" ns3:_="">
    <xsd:import namespace="e22a046b-f3d7-452d-b27c-aa414f72039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2a046b-f3d7-452d-b27c-aa414f72039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22a046b-f3d7-452d-b27c-aa414f720391" xsi:nil="true"/>
  </documentManagement>
</p:properties>
</file>

<file path=customXml/itemProps1.xml><?xml version="1.0" encoding="utf-8"?>
<ds:datastoreItem xmlns:ds="http://schemas.openxmlformats.org/officeDocument/2006/customXml" ds:itemID="{B57950D1-8D38-4106-A378-7989224A19AE}">
  <ds:schemaRefs>
    <ds:schemaRef ds:uri="http://schemas.microsoft.com/office/2006/metadata/contentType"/>
    <ds:schemaRef ds:uri="http://schemas.microsoft.com/office/2006/metadata/properties/metaAttributes"/>
    <ds:schemaRef ds:uri="http://www.w3.org/2000/xmlns/"/>
    <ds:schemaRef ds:uri="http://www.w3.org/2001/XMLSchema"/>
    <ds:schemaRef ds:uri="e22a046b-f3d7-452d-b27c-aa414f7203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5BE671-41FB-4361-8915-F198688A2650}">
  <ds:schemaRefs>
    <ds:schemaRef ds:uri="http://schemas.microsoft.com/sharepoint/v3/contenttype/forms"/>
  </ds:schemaRefs>
</ds:datastoreItem>
</file>

<file path=customXml/itemProps3.xml><?xml version="1.0" encoding="utf-8"?>
<ds:datastoreItem xmlns:ds="http://schemas.openxmlformats.org/officeDocument/2006/customXml" ds:itemID="{C8A88768-3FF4-4065-B0D4-9917D25051B6}">
  <ds:schemaRefs>
    <ds:schemaRef ds:uri="http://purl.org/dc/dcmitype/"/>
    <ds:schemaRef ds:uri="http://purl.org/dc/terms/"/>
    <ds:schemaRef ds:uri="http://purl.org/dc/elements/1.1/"/>
    <ds:schemaRef ds:uri="e22a046b-f3d7-452d-b27c-aa414f720391"/>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s>
</ds:datastoreItem>
</file>

<file path=docMetadata/LabelInfo.xml><?xml version="1.0" encoding="utf-8"?>
<clbl:labelList xmlns:clbl="http://schemas.microsoft.com/office/2020/mipLabelMetadata">
  <clbl:label id="{ca9a8b8c-3ea3-4799-a43e-5510398e7a3b}" enabled="0" method="" siteId="{ca9a8b8c-3ea3-4799-a43e-5510398e7a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Table</vt:lpstr>
      <vt:lpstr>Sales Transactions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Anotida Tyris  Kanzara</dc:creator>
  <cp:lastModifiedBy>Anotida Tyris  Kanzara</cp:lastModifiedBy>
  <dcterms:created xsi:type="dcterms:W3CDTF">2026-04-23T14:27:55Z</dcterms:created>
  <dcterms:modified xsi:type="dcterms:W3CDTF">2026-04-23T16:24:27Z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0x01010084EEF03FE9970D4BA904A7A938F086D6</vt:lpwstr>
  </property>
</Properties>
</file>