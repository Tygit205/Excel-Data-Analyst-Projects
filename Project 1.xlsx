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MYPC\Documents\Excel Projects\"/>
    </mc:Choice>
  </mc:AlternateContent>
  <xr:revisionPtr revIDLastSave="0" documentId="8_{50E5DC87-F22F-451D-88C9-89617F3BE11C}" xr6:coauthVersionLast="47" xr6:coauthVersionMax="47" xr10:uidLastSave="{00000000-0000-0000-0000-000000000000}"/>
  <bookViews>
    <workbookView xWindow="-120" yWindow="-120" windowWidth="20730" windowHeight="11160" activeTab="2" xr2:uid="{839109B8-3A6E-40FE-A522-6E01B5096CD5}"/>
  </bookViews>
  <sheets>
    <sheet name="XLOOKUP PROJECT 1" sheetId="1" r:id="rId1"/>
    <sheet name="p1-SALES" sheetId="2" r:id="rId2"/>
    <sheet name="p1-Final Product" sheetId="4" r:id="rId3"/>
  </sheets>
  <definedNames>
    <definedName name="_xlcn.WorksheetConnection_EXCELPROJECTS.xlsxTablePrices1" hidden="1">TablePrices[]</definedName>
    <definedName name="_xlcn.WorksheetConnection_EXCELPROJECTS.xlsxTableSales1" hidden="1">TableSales[]</definedName>
    <definedName name="Slicer_Product_Name">#N/A</definedName>
  </definedNames>
  <calcPr calcId="191029"/>
  <pivotCaches>
    <pivotCache cacheId="16" r:id="rId4"/>
  </pivotCaches>
  <extLst>
    <ext xmlns:x14="http://schemas.microsoft.com/office/spreadsheetml/2009/9/main" uri="{876F7934-8845-4945-9796-88D515C7AA90}">
      <x14:pivotCaches>
        <pivotCache cacheId="17" r:id="rId5"/>
      </x14:pivotCaches>
    </ex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Sales" name="TableSales" connection="WorksheetConnection_EXCEL PROJECTS.xlsx!TableSales"/>
          <x15:modelTable id="TablePrices" name="TablePrices" connection="WorksheetConnection_EXCEL PROJECTS.xlsx!TablePrices"/>
        </x15:modelTables>
        <x15:modelRelationships>
          <x15:modelRelationship fromTable="TableSales" fromColumn="ProductID" toTable="TablePrices" toColumn="Product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2" l="1"/>
  <c r="F4" i="2"/>
  <c r="F5" i="2"/>
  <c r="F6" i="2"/>
  <c r="F7" i="2"/>
  <c r="F8" i="2"/>
  <c r="F9" i="2"/>
  <c r="F2" i="2"/>
  <c r="E3" i="2"/>
  <c r="E4" i="2"/>
  <c r="E5" i="2"/>
  <c r="E6" i="2"/>
  <c r="E7" i="2"/>
  <c r="E8" i="2"/>
  <c r="E9" i="2"/>
  <c r="E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4DB755E-99EE-41A4-A38D-C9784D4FD47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88AE554-349C-4F7C-ABB9-2B25EA0E9B9E}" name="WorksheetConnection_EXCEL PROJECTS.xlsx!TablePrices" type="102" refreshedVersion="8" minRefreshableVersion="5">
    <extLst>
      <ext xmlns:x15="http://schemas.microsoft.com/office/spreadsheetml/2010/11/main" uri="{DE250136-89BD-433C-8126-D09CA5730AF9}">
        <x15:connection id="TablePrices">
          <x15:rangePr sourceName="_xlcn.WorksheetConnection_EXCELPROJECTS.xlsxTablePrices1"/>
        </x15:connection>
      </ext>
    </extLst>
  </connection>
  <connection id="3" xr16:uid="{61ECD151-0814-46D1-A38A-C67BF7AB9FCC}" name="WorksheetConnection_EXCEL PROJECTS.xlsx!TableSales" type="102" refreshedVersion="8" minRefreshableVersion="5">
    <extLst>
      <ext xmlns:x15="http://schemas.microsoft.com/office/spreadsheetml/2010/11/main" uri="{DE250136-89BD-433C-8126-D09CA5730AF9}">
        <x15:connection id="TableSales" autoDelete="1">
          <x15:rangePr sourceName="_xlcn.WorksheetConnection_EXCELPROJECTS.xlsxTableSales1"/>
        </x15:connection>
      </ext>
    </extLst>
  </connection>
</connections>
</file>

<file path=xl/sharedStrings.xml><?xml version="1.0" encoding="utf-8"?>
<sst xmlns="http://schemas.openxmlformats.org/spreadsheetml/2006/main" count="40" uniqueCount="30">
  <si>
    <t>ProductID</t>
  </si>
  <si>
    <t>Product Name</t>
  </si>
  <si>
    <t>Unit Price (R)</t>
  </si>
  <si>
    <t>P001</t>
  </si>
  <si>
    <t>Wireless Mouse</t>
  </si>
  <si>
    <t>P002</t>
  </si>
  <si>
    <t>Mechanical Keyboard</t>
  </si>
  <si>
    <t>P003</t>
  </si>
  <si>
    <t>27" Monitor</t>
  </si>
  <si>
    <t>P004</t>
  </si>
  <si>
    <t>USB-C Hub</t>
  </si>
  <si>
    <t>P005</t>
  </si>
  <si>
    <t>Laptop Stand</t>
  </si>
  <si>
    <t>TransactionID</t>
  </si>
  <si>
    <t>Date</t>
  </si>
  <si>
    <t>Quantity</t>
  </si>
  <si>
    <t>Price per Unit</t>
  </si>
  <si>
    <t>Total Revenue</t>
  </si>
  <si>
    <t>T1001</t>
  </si>
  <si>
    <t>T1002</t>
  </si>
  <si>
    <t>T1003</t>
  </si>
  <si>
    <t>T1004</t>
  </si>
  <si>
    <t>T1005</t>
  </si>
  <si>
    <t>T1006</t>
  </si>
  <si>
    <t>T1007</t>
  </si>
  <si>
    <t>T1008</t>
  </si>
  <si>
    <t>Grand Total</t>
  </si>
  <si>
    <t>Sum of Total Revenue</t>
  </si>
  <si>
    <t>Product Names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</si>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</sst>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R-430]#,##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164" fontId="0" fillId="0" borderId="0" xfId="0" applyNumberFormat="1"/>
  </cellXfs>
  <cellStyles count="1">
    <cellStyle name="Normal" xfId="0" builtinId="0"/>
  </cellStyles>
  <dxfs count="3">
    <dxf>
      <numFmt numFmtId="19" formatCode="m/d/yyyy"/>
    </dxf>
    <dxf>
      <alignment horizontal="center" vertical="bottom" textRotation="0" wrapText="0" indent="0" justifyLastLine="0" shrinkToFit="0" readingOrder="0"/>
    </dxf>
    <dxf>
      <numFmt numFmtId="164" formatCode="[$R-430]#,##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powerPivotData" Target="model/item.data"/><Relationship Id="rId5" Type="http://schemas.openxmlformats.org/officeDocument/2006/relationships/pivotCacheDefinition" Target="pivotCache/pivotCacheDefinition2.xml"/><Relationship Id="rId15" Type="http://schemas.openxmlformats.org/officeDocument/2006/relationships/customXml" Target="../customXml/item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editAs="oneCell">
    <xdr:from>
      <xdr:col>3</xdr:col>
      <xdr:colOff>9525</xdr:colOff>
      <xdr:row>2</xdr:row>
      <xdr:rowOff>9525</xdr:rowOff>
    </xdr:from>
    <xdr:to>
      <xdr:col>6</xdr:col>
      <xdr:colOff>123825</xdr:colOff>
      <xdr:row>16</xdr:row>
      <xdr:rowOff>9525</xdr:rowOff>
    </xdr:to>
    <mc:AlternateContent xmlns:mc="http://schemas.openxmlformats.org/markup-compatibility/2006" xmlns:a14="http://schemas.microsoft.com/office/drawing/2010/main">
      <mc:Choice Requires="a14">
        <xdr:graphicFrame macro="">
          <xdr:nvGraphicFramePr>
            <xdr:cNvPr id="2" name="Product Name">
              <a:extLst>
                <a:ext uri="{FF2B5EF4-FFF2-40B4-BE49-F238E27FC236}">
                  <a16:creationId xmlns:a16="http://schemas.microsoft.com/office/drawing/2014/main" id="{BFDAA9AC-4213-EC45-517D-4F97AAEB1DFA}"/>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3067050" y="3905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PC" refreshedDate="46130.84364861111" backgroundQuery="1" createdVersion="8" refreshedVersion="8" minRefreshableVersion="3" recordCount="0" supportSubquery="1" supportAdvancedDrill="1" xr:uid="{A242D8E7-B75F-418B-9146-489F3A81132A}">
  <cacheSource type="external" connectionId="1"/>
  <cacheFields count="2">
    <cacheField name="[TablePrices].[Product Name].[Product Name]" caption="Product Name" numFmtId="0" hierarchy="1" level="1">
      <sharedItems count="1">
        <s v="Laptop Stand"/>
      </sharedItems>
    </cacheField>
    <cacheField name="[Measures].[Sum of Total Revenue]" caption="Sum of Total Revenue" numFmtId="0" hierarchy="12" level="32767"/>
  </cacheFields>
  <cacheHierarchies count="14">
    <cacheHierarchy uniqueName="[TablePrices].[ProductID]" caption="ProductID" attribute="1" defaultMemberUniqueName="[TablePrices].[ProductID].[All]" allUniqueName="[TablePrices].[ProductID].[All]" dimensionUniqueName="[TablePrices]" displayFolder="" count="2" memberValueDatatype="130" unbalanced="0"/>
    <cacheHierarchy uniqueName="[TablePrices].[Product Name]" caption="Product Name" attribute="1" defaultMemberUniqueName="[TablePrices].[Product Name].[All]" allUniqueName="[TablePrices].[Product Name].[All]" dimensionUniqueName="[TablePrices]" displayFolder="" count="2" memberValueDatatype="130" unbalanced="0">
      <fieldsUsage count="2">
        <fieldUsage x="-1"/>
        <fieldUsage x="0"/>
      </fieldsUsage>
    </cacheHierarchy>
    <cacheHierarchy uniqueName="[TablePrices].[Unit Price (R)]" caption="Unit Price (R)" attribute="1" defaultMemberUniqueName="[TablePrices].[Unit Price (R)].[All]" allUniqueName="[TablePrices].[Unit Price (R)].[All]" dimensionUniqueName="[TablePrices]" displayFolder="" count="2" memberValueDatatype="20" unbalanced="0"/>
    <cacheHierarchy uniqueName="[TableSales].[TransactionID]" caption="TransactionID" attribute="1" defaultMemberUniqueName="[TableSales].[TransactionID].[All]" allUniqueName="[TableSales].[TransactionID].[All]" dimensionUniqueName="[TableSales]" displayFolder="" count="2" memberValueDatatype="130" unbalanced="0"/>
    <cacheHierarchy uniqueName="[TableSales].[Date]" caption="Date" attribute="1" time="1" defaultMemberUniqueName="[TableSales].[Date].[All]" allUniqueName="[TableSales].[Date].[All]" dimensionUniqueName="[TableSales]" displayFolder="" count="2" memberValueDatatype="7" unbalanced="0"/>
    <cacheHierarchy uniqueName="[TableSales].[ProductID]" caption="ProductID" attribute="1" defaultMemberUniqueName="[TableSales].[ProductID].[All]" allUniqueName="[TableSales].[ProductID].[All]" dimensionUniqueName="[TableSales]" displayFolder="" count="2" memberValueDatatype="130" unbalanced="0"/>
    <cacheHierarchy uniqueName="[TableSales].[Quantity]" caption="Quantity" attribute="1" defaultMemberUniqueName="[TableSales].[Quantity].[All]" allUniqueName="[TableSales].[Quantity].[All]" dimensionUniqueName="[TableSales]" displayFolder="" count="2" memberValueDatatype="20" unbalanced="0"/>
    <cacheHierarchy uniqueName="[TableSales].[Price per Unit]" caption="Price per Unit" attribute="1" defaultMemberUniqueName="[TableSales].[Price per Unit].[All]" allUniqueName="[TableSales].[Price per Unit].[All]" dimensionUniqueName="[TableSales]" displayFolder="" count="2" memberValueDatatype="20" unbalanced="0"/>
    <cacheHierarchy uniqueName="[TableSales].[Total Revenue]" caption="Total Revenue" attribute="1" defaultMemberUniqueName="[TableSales].[Total Revenue].[All]" allUniqueName="[TableSales].[Total Revenue].[All]" dimensionUniqueName="[TableSales]" displayFolder="" count="2" memberValueDatatype="20" unbalanced="0"/>
    <cacheHierarchy uniqueName="[Measures].[__XL_Count TableSales]" caption="__XL_Count TableSales" measure="1" displayFolder="" measureGroup="TableSales" count="0" hidden="1"/>
    <cacheHierarchy uniqueName="[Measures].[__XL_Count TablePrices]" caption="__XL_Count TablePrices" measure="1" displayFolder="" measureGroup="TablePrices" count="0" hidden="1"/>
    <cacheHierarchy uniqueName="[Measures].[__No measures defined]" caption="__No measures defined" measure="1" displayFolder="" count="0" hidden="1"/>
    <cacheHierarchy uniqueName="[Measures].[Sum of Total Revenue]" caption="Sum of Total Revenue" measure="1" displayFolder="" measureGroup="TableSales"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Total Revenue]" caption="Count of Total Revenue" measure="1" displayFolder="" measureGroup="TableSales"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TablePrices" uniqueName="[TablePrices]" caption="TablePrices"/>
    <dimension name="TableSales" uniqueName="[TableSales]" caption="TableSales"/>
  </dimensions>
  <measureGroups count="2">
    <measureGroup name="TablePrices" caption="TablePrices"/>
    <measureGroup name="TableSales" caption="TableSale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PC" refreshedDate="46130.843089004629" backgroundQuery="1" createdVersion="3" refreshedVersion="8" minRefreshableVersion="3" recordCount="0" supportSubquery="1" supportAdvancedDrill="1" xr:uid="{6E107CFE-728A-47BF-AAED-638B7EBE2BE7}">
  <cacheSource type="external" connectionId="1">
    <extLst>
      <ext xmlns:x14="http://schemas.microsoft.com/office/spreadsheetml/2009/9/main" uri="{F057638F-6D5F-4e77-A914-E7F072B9BCA8}">
        <x14:sourceConnection name="ThisWorkbookDataModel"/>
      </ext>
    </extLst>
  </cacheSource>
  <cacheFields count="0"/>
  <cacheHierarchies count="14">
    <cacheHierarchy uniqueName="[TablePrices].[ProductID]" caption="ProductID" attribute="1" defaultMemberUniqueName="[TablePrices].[ProductID].[All]" allUniqueName="[TablePrices].[ProductID].[All]" dimensionUniqueName="[TablePrices]" displayFolder="" count="0" memberValueDatatype="130" unbalanced="0"/>
    <cacheHierarchy uniqueName="[TablePrices].[Product Name]" caption="Product Name" attribute="1" defaultMemberUniqueName="[TablePrices].[Product Name].[All]" allUniqueName="[TablePrices].[Product Name].[All]" dimensionUniqueName="[TablePrices]" displayFolder="" count="2" memberValueDatatype="130" unbalanced="0"/>
    <cacheHierarchy uniqueName="[TablePrices].[Unit Price (R)]" caption="Unit Price (R)" attribute="1" defaultMemberUniqueName="[TablePrices].[Unit Price (R)].[All]" allUniqueName="[TablePrices].[Unit Price (R)].[All]" dimensionUniqueName="[TablePrices]" displayFolder="" count="0" memberValueDatatype="20" unbalanced="0"/>
    <cacheHierarchy uniqueName="[TableSales].[TransactionID]" caption="TransactionID" attribute="1" defaultMemberUniqueName="[TableSales].[TransactionID].[All]" allUniqueName="[TableSales].[TransactionID].[All]" dimensionUniqueName="[TableSales]" displayFolder="" count="0" memberValueDatatype="130" unbalanced="0"/>
    <cacheHierarchy uniqueName="[TableSales].[Date]" caption="Date" attribute="1" time="1" defaultMemberUniqueName="[TableSales].[Date].[All]" allUniqueName="[TableSales].[Date].[All]" dimensionUniqueName="[TableSales]" displayFolder="" count="0" memberValueDatatype="7" unbalanced="0"/>
    <cacheHierarchy uniqueName="[TableSales].[ProductID]" caption="ProductID" attribute="1" defaultMemberUniqueName="[TableSales].[ProductID].[All]" allUniqueName="[TableSales].[ProductID].[All]" dimensionUniqueName="[TableSales]" displayFolder="" count="0" memberValueDatatype="130" unbalanced="0"/>
    <cacheHierarchy uniqueName="[TableSales].[Quantity]" caption="Quantity" attribute="1" defaultMemberUniqueName="[TableSales].[Quantity].[All]" allUniqueName="[TableSales].[Quantity].[All]" dimensionUniqueName="[TableSales]" displayFolder="" count="0" memberValueDatatype="20" unbalanced="0"/>
    <cacheHierarchy uniqueName="[TableSales].[Price per Unit]" caption="Price per Unit" attribute="1" defaultMemberUniqueName="[TableSales].[Price per Unit].[All]" allUniqueName="[TableSales].[Price per Unit].[All]" dimensionUniqueName="[TableSales]" displayFolder="" count="0" memberValueDatatype="20" unbalanced="0"/>
    <cacheHierarchy uniqueName="[TableSales].[Total Revenue]" caption="Total Revenue" attribute="1" defaultMemberUniqueName="[TableSales].[Total Revenue].[All]" allUniqueName="[TableSales].[Total Revenue].[All]" dimensionUniqueName="[TableSales]" displayFolder="" count="0" memberValueDatatype="20" unbalanced="0"/>
    <cacheHierarchy uniqueName="[Measures].[__XL_Count TableSales]" caption="__XL_Count TableSales" measure="1" displayFolder="" measureGroup="TableSales" count="0" hidden="1"/>
    <cacheHierarchy uniqueName="[Measures].[__XL_Count TablePrices]" caption="__XL_Count TablePrices" measure="1" displayFolder="" measureGroup="TablePrices" count="0" hidden="1"/>
    <cacheHierarchy uniqueName="[Measures].[__No measures defined]" caption="__No measures defined" measure="1" displayFolder="" count="0" hidden="1"/>
    <cacheHierarchy uniqueName="[Measures].[Sum of Total Revenue]" caption="Sum of Total Revenue" measure="1" displayFolder="" measureGroup="TableSales" count="0" hidden="1">
      <extLst>
        <ext xmlns:x15="http://schemas.microsoft.com/office/spreadsheetml/2010/11/main" uri="{B97F6D7D-B522-45F9-BDA1-12C45D357490}">
          <x15:cacheHierarchy aggregatedColumn="8"/>
        </ext>
      </extLst>
    </cacheHierarchy>
    <cacheHierarchy uniqueName="[Measures].[Count of Total Revenue]" caption="Count of Total Revenue" measure="1" displayFolder="" measureGroup="TableSales"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189420434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087BE2-BE7E-4C6D-9315-25805F3E1454}" name="PivotTable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Names">
  <location ref="A3:B5" firstHeaderRow="1" firstDataRow="1" firstDataCol="1"/>
  <pivotFields count="2">
    <pivotField axis="axisRow" allDrilled="1" subtotalTop="0" showAll="0" sortType="descending" defaultSubtotal="0" defaultAttributeDrillState="1">
      <items count="1">
        <item s="1" x="0"/>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2">
    <i>
      <x/>
    </i>
    <i t="grand">
      <x/>
    </i>
  </rowItems>
  <colItems count="1">
    <i/>
  </colItems>
  <dataFields count="1">
    <dataField name="Sum of Total Revenue" fld="1" baseField="0" baseItem="0" numFmtId="164"/>
  </dataFields>
  <formats count="1">
    <format dxfId="2">
      <pivotArea outline="0" collapsedLevelsAreSubtotals="1" fieldPosition="0"/>
    </format>
  </formats>
  <pivotHierarchies count="1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Total Revenue"/>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Sales]"/>
        <x15:activeTabTopLevelEntity name="[TablePric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60226AAF-DE70-42DA-96B5-24CD5B0C93EB}" sourceName="[TablePrices].[Product Name]">
  <pivotTables>
    <pivotTable tabId="4" name="PivotTable3"/>
  </pivotTables>
  <data>
    <olap pivotCacheId="1894204347">
      <levels count="2">
        <level uniqueName="[TablePrices].[Product Name].[(All)]" sourceCaption="(All)" count="0"/>
        <level uniqueName="[TablePrices].[Product Name].[Product Name]" sourceCaption="Product Name" count="5">
          <ranges>
            <range startItem="0">
              <i n="[TablePrices].[Product Name].&amp;[27&quot; Monitor]" c="27&quot; Monitor"/>
              <i n="[TablePrices].[Product Name].&amp;[Laptop Stand]" c="Laptop Stand"/>
              <i n="[TablePrices].[Product Name].&amp;[Mechanical Keyboard]" c="Mechanical Keyboard"/>
              <i n="[TablePrices].[Product Name].&amp;[USB-C Hub]" c="USB-C Hub"/>
              <i n="[TablePrices].[Product Name].&amp;[Wireless Mouse]" c="Wireless Mouse"/>
            </range>
          </ranges>
        </level>
      </levels>
      <selections count="1">
        <selection n="[TablePrices].[Product Name].&amp;[Laptop Stand]"/>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B959CBD0-599D-4740-9547-97BE4F4C6B88}" cache="Slicer_Product_Name" caption="Product Name" level="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F3EE12-566B-4AB4-B54F-7E59EC86F6B8}" name="TablePrices" displayName="TablePrices" ref="A1:C6" totalsRowShown="0">
  <autoFilter ref="A1:C6" xr:uid="{64F3EE12-566B-4AB4-B54F-7E59EC86F6B8}"/>
  <tableColumns count="3">
    <tableColumn id="1" xr3:uid="{765CAC28-32FD-4F39-869E-DEC2647AB8E5}" name="ProductID"/>
    <tableColumn id="2" xr3:uid="{31251745-6DBE-456F-8CB6-7F0B49E51E7D}" name="Product Name"/>
    <tableColumn id="3" xr3:uid="{0FFEED8F-8289-45EE-AEC1-1150B79C855B}" name="Unit Price (R)" dataDxfId="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73367A-E61E-4FD0-8C12-1EF363E10A6A}" name="TableSales" displayName="TableSales" ref="A1:F9" totalsRowShown="0">
  <autoFilter ref="A1:F9" xr:uid="{5673367A-E61E-4FD0-8C12-1EF363E10A6A}"/>
  <tableColumns count="6">
    <tableColumn id="1" xr3:uid="{056D8531-E85C-4CD8-A57E-92533F501979}" name="TransactionID"/>
    <tableColumn id="2" xr3:uid="{55E4E874-529C-445A-9360-C9E2DB045C8A}" name="Date" dataDxfId="0"/>
    <tableColumn id="3" xr3:uid="{D23C1C52-11DD-477F-B81C-115246DE214E}" name="ProductID"/>
    <tableColumn id="4" xr3:uid="{E24750EA-96A9-4E6D-AAEF-B457139CA86E}" name="Quantity"/>
    <tableColumn id="5" xr3:uid="{3D3AD3CD-4E4D-4A57-A278-6FB8FD16EE52}" name="Price per Unit">
      <calculatedColumnFormula>_xlfn.XLOOKUP('XLOOKUP PROJECT 1'!A2,'XLOOKUP PROJECT 1'!A2:A6,'XLOOKUP PROJECT 1'!C2:C6)</calculatedColumnFormula>
    </tableColumn>
    <tableColumn id="6" xr3:uid="{BC16349A-080F-4CD3-B911-1629186785C7}" name="Total Revenue">
      <calculatedColumnFormula>D2*E2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304BF-8D9E-4A9D-A1AB-6FD74E2A2BDB}">
  <dimension ref="A1:C6"/>
  <sheetViews>
    <sheetView workbookViewId="0">
      <selection activeCell="D12" sqref="D12"/>
    </sheetView>
  </sheetViews>
  <sheetFormatPr defaultRowHeight="15" x14ac:dyDescent="0.25"/>
  <cols>
    <col min="1" max="1" width="12.140625" customWidth="1"/>
    <col min="2" max="2" width="20.28515625" bestFit="1" customWidth="1"/>
    <col min="3" max="4" width="15" customWidth="1"/>
  </cols>
  <sheetData>
    <row r="1" spans="1:3" x14ac:dyDescent="0.25">
      <c r="A1" t="s">
        <v>0</v>
      </c>
      <c r="B1" t="s">
        <v>1</v>
      </c>
      <c r="C1" t="s">
        <v>2</v>
      </c>
    </row>
    <row r="2" spans="1:3" x14ac:dyDescent="0.25">
      <c r="A2" t="s">
        <v>3</v>
      </c>
      <c r="B2" t="s">
        <v>4</v>
      </c>
      <c r="C2" s="4">
        <v>450</v>
      </c>
    </row>
    <row r="3" spans="1:3" x14ac:dyDescent="0.25">
      <c r="A3" t="s">
        <v>5</v>
      </c>
      <c r="B3" t="s">
        <v>6</v>
      </c>
      <c r="C3" s="4">
        <v>1200</v>
      </c>
    </row>
    <row r="4" spans="1:3" x14ac:dyDescent="0.25">
      <c r="A4" t="s">
        <v>7</v>
      </c>
      <c r="B4" t="s">
        <v>8</v>
      </c>
      <c r="C4" s="4">
        <v>3500</v>
      </c>
    </row>
    <row r="5" spans="1:3" x14ac:dyDescent="0.25">
      <c r="A5" t="s">
        <v>9</v>
      </c>
      <c r="B5" t="s">
        <v>10</v>
      </c>
      <c r="C5" s="4">
        <v>600</v>
      </c>
    </row>
    <row r="6" spans="1:3" x14ac:dyDescent="0.25">
      <c r="A6" t="s">
        <v>11</v>
      </c>
      <c r="B6" t="s">
        <v>12</v>
      </c>
      <c r="C6" s="4">
        <v>850</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49AD7-24F1-42F0-BC79-A72A72527BA6}">
  <dimension ref="A1:F9"/>
  <sheetViews>
    <sheetView workbookViewId="0">
      <selection activeCell="C12" sqref="C12"/>
    </sheetView>
  </sheetViews>
  <sheetFormatPr defaultRowHeight="15" x14ac:dyDescent="0.25"/>
  <cols>
    <col min="1" max="1" width="15.5703125" customWidth="1"/>
    <col min="2" max="2" width="8.42578125" bestFit="1" customWidth="1"/>
    <col min="3" max="3" width="12.140625" customWidth="1"/>
    <col min="4" max="4" width="10.85546875" customWidth="1"/>
    <col min="5" max="5" width="15.28515625" customWidth="1"/>
    <col min="6" max="6" width="16" customWidth="1"/>
    <col min="7" max="7" width="16.42578125" customWidth="1"/>
  </cols>
  <sheetData>
    <row r="1" spans="1:6" x14ac:dyDescent="0.25">
      <c r="A1" t="s">
        <v>13</v>
      </c>
      <c r="B1" t="s">
        <v>14</v>
      </c>
      <c r="C1" t="s">
        <v>0</v>
      </c>
      <c r="D1" t="s">
        <v>15</v>
      </c>
      <c r="E1" t="s">
        <v>16</v>
      </c>
      <c r="F1" t="s">
        <v>17</v>
      </c>
    </row>
    <row r="2" spans="1:6" x14ac:dyDescent="0.25">
      <c r="A2" t="s">
        <v>18</v>
      </c>
      <c r="B2" s="1">
        <v>46113</v>
      </c>
      <c r="C2" t="s">
        <v>3</v>
      </c>
      <c r="D2">
        <v>2</v>
      </c>
      <c r="E2">
        <f>_xlfn.XLOOKUP('XLOOKUP PROJECT 1'!A2,'XLOOKUP PROJECT 1'!A2:A6,'XLOOKUP PROJECT 1'!C2:C6)</f>
        <v>450</v>
      </c>
      <c r="F2">
        <f>D2*E2</f>
        <v>900</v>
      </c>
    </row>
    <row r="3" spans="1:6" x14ac:dyDescent="0.25">
      <c r="A3" t="s">
        <v>19</v>
      </c>
      <c r="B3" s="1">
        <v>46113</v>
      </c>
      <c r="C3" t="s">
        <v>7</v>
      </c>
      <c r="D3">
        <v>1</v>
      </c>
      <c r="E3">
        <f>_xlfn.XLOOKUP('XLOOKUP PROJECT 1'!A3,'XLOOKUP PROJECT 1'!A3:A7,'XLOOKUP PROJECT 1'!C3:C7)</f>
        <v>1200</v>
      </c>
      <c r="F3">
        <f t="shared" ref="F3:F9" si="0">D3*E3</f>
        <v>1200</v>
      </c>
    </row>
    <row r="4" spans="1:6" x14ac:dyDescent="0.25">
      <c r="A4" t="s">
        <v>20</v>
      </c>
      <c r="B4" s="1">
        <v>46114</v>
      </c>
      <c r="C4" t="s">
        <v>11</v>
      </c>
      <c r="D4">
        <v>3</v>
      </c>
      <c r="E4">
        <f>_xlfn.XLOOKUP('XLOOKUP PROJECT 1'!A4,'XLOOKUP PROJECT 1'!A4:A8,'XLOOKUP PROJECT 1'!C4:C8)</f>
        <v>3500</v>
      </c>
      <c r="F4">
        <f t="shared" si="0"/>
        <v>10500</v>
      </c>
    </row>
    <row r="5" spans="1:6" x14ac:dyDescent="0.25">
      <c r="A5" t="s">
        <v>21</v>
      </c>
      <c r="B5" s="1">
        <v>46114</v>
      </c>
      <c r="C5" t="s">
        <v>5</v>
      </c>
      <c r="D5">
        <v>1</v>
      </c>
      <c r="E5">
        <f>_xlfn.XLOOKUP('XLOOKUP PROJECT 1'!A5,'XLOOKUP PROJECT 1'!A5:A9,'XLOOKUP PROJECT 1'!C5:C9)</f>
        <v>600</v>
      </c>
      <c r="F5">
        <f t="shared" si="0"/>
        <v>600</v>
      </c>
    </row>
    <row r="6" spans="1:6" x14ac:dyDescent="0.25">
      <c r="A6" t="s">
        <v>22</v>
      </c>
      <c r="B6" s="1">
        <v>46115</v>
      </c>
      <c r="C6" t="s">
        <v>3</v>
      </c>
      <c r="D6">
        <v>5</v>
      </c>
      <c r="E6">
        <f>_xlfn.XLOOKUP('XLOOKUP PROJECT 1'!A6,'XLOOKUP PROJECT 1'!A6:A10,'XLOOKUP PROJECT 1'!C6:C10)</f>
        <v>850</v>
      </c>
      <c r="F6">
        <f t="shared" si="0"/>
        <v>4250</v>
      </c>
    </row>
    <row r="7" spans="1:6" x14ac:dyDescent="0.25">
      <c r="A7" t="s">
        <v>23</v>
      </c>
      <c r="B7" s="1">
        <v>46115</v>
      </c>
      <c r="C7" t="s">
        <v>9</v>
      </c>
      <c r="D7">
        <v>2</v>
      </c>
      <c r="E7">
        <f>_xlfn.XLOOKUP('XLOOKUP PROJECT 1'!A7,'XLOOKUP PROJECT 1'!A7:A11,'XLOOKUP PROJECT 1'!C7:C11)</f>
        <v>0</v>
      </c>
      <c r="F7">
        <f t="shared" si="0"/>
        <v>0</v>
      </c>
    </row>
    <row r="8" spans="1:6" x14ac:dyDescent="0.25">
      <c r="A8" t="s">
        <v>24</v>
      </c>
      <c r="B8" s="1">
        <v>46116</v>
      </c>
      <c r="C8" t="s">
        <v>7</v>
      </c>
      <c r="D8">
        <v>2</v>
      </c>
      <c r="E8">
        <f>_xlfn.XLOOKUP('XLOOKUP PROJECT 1'!A8,'XLOOKUP PROJECT 1'!A8:A12,'XLOOKUP PROJECT 1'!C8:C12)</f>
        <v>0</v>
      </c>
      <c r="F8">
        <f t="shared" si="0"/>
        <v>0</v>
      </c>
    </row>
    <row r="9" spans="1:6" x14ac:dyDescent="0.25">
      <c r="A9" t="s">
        <v>25</v>
      </c>
      <c r="B9" s="1">
        <v>46117</v>
      </c>
      <c r="C9" t="s">
        <v>5</v>
      </c>
      <c r="D9">
        <v>4</v>
      </c>
      <c r="E9">
        <f>_xlfn.XLOOKUP('XLOOKUP PROJECT 1'!A9,'XLOOKUP PROJECT 1'!A9:A13,'XLOOKUP PROJECT 1'!C9:C13)</f>
        <v>0</v>
      </c>
      <c r="F9">
        <f t="shared" si="0"/>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10C6A-FF51-4EE8-BA30-85E238B40B7A}">
  <dimension ref="A3:H13"/>
  <sheetViews>
    <sheetView tabSelected="1" workbookViewId="0">
      <selection activeCell="H13" sqref="H13"/>
    </sheetView>
  </sheetViews>
  <sheetFormatPr defaultRowHeight="15" x14ac:dyDescent="0.25"/>
  <cols>
    <col min="1" max="1" width="17.140625" bestFit="1" customWidth="1"/>
    <col min="2" max="2" width="20.85546875" bestFit="1" customWidth="1"/>
    <col min="3" max="3" width="7.85546875" bestFit="1" customWidth="1"/>
    <col min="4" max="4" width="9.42578125" bestFit="1" customWidth="1"/>
    <col min="5" max="5" width="5.85546875" bestFit="1" customWidth="1"/>
    <col min="6" max="6" width="10.42578125" bestFit="1" customWidth="1"/>
    <col min="7" max="7" width="11.28515625" bestFit="1" customWidth="1"/>
    <col min="8" max="9" width="7" bestFit="1" customWidth="1"/>
    <col min="10" max="10" width="11.28515625" bestFit="1" customWidth="1"/>
  </cols>
  <sheetData>
    <row r="3" spans="1:8" x14ac:dyDescent="0.25">
      <c r="A3" s="2" t="s">
        <v>28</v>
      </c>
      <c r="B3" t="s">
        <v>27</v>
      </c>
    </row>
    <row r="4" spans="1:8" x14ac:dyDescent="0.25">
      <c r="A4" s="3" t="s">
        <v>12</v>
      </c>
      <c r="B4" s="5">
        <v>10500</v>
      </c>
    </row>
    <row r="5" spans="1:8" x14ac:dyDescent="0.25">
      <c r="A5" s="3" t="s">
        <v>26</v>
      </c>
      <c r="B5" s="5">
        <v>10500</v>
      </c>
    </row>
    <row r="13" spans="1:8" x14ac:dyDescent="0.25">
      <c r="H13" t="s">
        <v>29</v>
      </c>
    </row>
  </sheetData>
  <pageMargins left="0.7" right="0.7" top="0.75" bottom="0.75" header="0.3" footer="0.3"/>
  <pageSetup scale="0" firstPageNumber="0" fitToWidth="0" fitToHeight="0" orientation="portrait" horizontalDpi="0" verticalDpi="0" copies="0"/>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4EEF03FE9970D4BA904A7A938F086D6" ma:contentTypeVersion="9" ma:contentTypeDescription="Create a new document." ma:contentTypeScope="" ma:versionID="2502d8cb00421e2ce73f263bdb00baff">
  <xsd:schema xmlns:xsd="http://www.w3.org/2001/XMLSchema" xmlns:xs="http://www.w3.org/2001/XMLSchema" xmlns:p="http://schemas.microsoft.com/office/2006/metadata/properties" xmlns:ns3="e22a046b-f3d7-452d-b27c-aa414f720391" targetNamespace="http://schemas.microsoft.com/office/2006/metadata/properties" ma:root="true" ma:fieldsID="6b4936264153d39573bb50163a233602" ns3:_="">
    <xsd:import namespace="e22a046b-f3d7-452d-b27c-aa414f720391"/>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SystemTags" minOccurs="0"/>
                <xsd:element ref="ns3:MediaServiceOCR" minOccurs="0"/>
                <xsd:element ref="ns3:MediaServiceGenerationTime" minOccurs="0"/>
                <xsd:element ref="ns3:MediaServiceEventHashCode"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22a046b-f3d7-452d-b27c-aa414f720391"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_activity" ma:index="16"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e22a046b-f3d7-452d-b27c-aa414f720391" xsi:nil="true"/>
  </documentManagement>
</p:properties>
</file>

<file path=customXml/itemProps1.xml><?xml version="1.0" encoding="utf-8"?>
<ds:datastoreItem xmlns:ds="http://schemas.openxmlformats.org/officeDocument/2006/customXml" ds:itemID="{08EFDD6C-B0E0-48BC-8C8C-AB18D3C23342}">
  <ds:schemaRefs>
    <ds:schemaRef ds:uri="http://schemas.microsoft.com/sharepoint/v3/contenttype/forms"/>
  </ds:schemaRefs>
</ds:datastoreItem>
</file>

<file path=customXml/itemProps2.xml><?xml version="1.0" encoding="utf-8"?>
<ds:datastoreItem xmlns:ds="http://schemas.openxmlformats.org/officeDocument/2006/customXml" ds:itemID="{01E15AF9-394A-409F-96F1-B7E62FCF24B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22a046b-f3d7-452d-b27c-aa414f72039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5B68BAA-92DD-48F6-888A-4C800A672423}">
  <ds:schemaRefs>
    <ds:schemaRef ds:uri="http://www.w3.org/XML/1998/namespace"/>
    <ds:schemaRef ds:uri="http://purl.org/dc/dcmitype/"/>
    <ds:schemaRef ds:uri="http://purl.org/dc/elements/1.1/"/>
    <ds:schemaRef ds:uri="e22a046b-f3d7-452d-b27c-aa414f720391"/>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terms/"/>
  </ds:schemaRefs>
</ds:datastoreItem>
</file>

<file path=docMetadata/LabelInfo.xml><?xml version="1.0" encoding="utf-8"?>
<clbl:labelList xmlns:clbl="http://schemas.microsoft.com/office/2020/mipLabelMetadata">
  <clbl:label id="{ca9a8b8c-3ea3-4799-a43e-5510398e7a3b}" enabled="0" method="" siteId="{ca9a8b8c-3ea3-4799-a43e-5510398e7a3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XLOOKUP PROJECT 1</vt:lpstr>
      <vt:lpstr>p1-SALES</vt:lpstr>
      <vt:lpstr>p1-Final Product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Anotida Tyris  Kanzara</dc:creator>
  <cp:lastModifiedBy>Anotida Tyris  Kanzara</cp:lastModifiedBy>
  <dcterms:created xsi:type="dcterms:W3CDTF">2026-04-16T13:51:50Z</dcterms:created>
  <dcterms:modified xsi:type="dcterms:W3CDTF">2026-05-05T18:47:13Z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0x01010084EEF03FE9970D4BA904A7A938F086D6</vt:lpwstr>
  </property>
</Properties>
</file>