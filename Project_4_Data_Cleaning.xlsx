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PC\Documents\Excel Projects\"/>
    </mc:Choice>
  </mc:AlternateContent>
  <xr:revisionPtr revIDLastSave="0" documentId="8_{94697D56-4EA3-4CEA-9654-B3421F1B78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 - DO NOT EDIT" sheetId="1" r:id="rId1"/>
    <sheet name="Cleaning Checklist" sheetId="2" r:id="rId2"/>
    <sheet name="CLEANED DATA" sheetId="3" r:id="rId3"/>
    <sheet name="REPORT - Manager Summary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</calcChain>
</file>

<file path=xl/sharedStrings.xml><?xml version="1.0" encoding="utf-8"?>
<sst xmlns="http://schemas.openxmlformats.org/spreadsheetml/2006/main" count="536" uniqueCount="227">
  <si>
    <t>OrderID</t>
  </si>
  <si>
    <t>Date</t>
  </si>
  <si>
    <t>CustomerName</t>
  </si>
  <si>
    <t>Region</t>
  </si>
  <si>
    <t>Product</t>
  </si>
  <si>
    <t>Category</t>
  </si>
  <si>
    <t>Quantity</t>
  </si>
  <si>
    <t>UnitPrice(R)</t>
  </si>
  <si>
    <t>TotalRevenue(R)</t>
  </si>
  <si>
    <t>SalesRep</t>
  </si>
  <si>
    <t>Status</t>
  </si>
  <si>
    <t>ORD001</t>
  </si>
  <si>
    <t>2026-04-01</t>
  </si>
  <si>
    <t>Sipho Dlamini</t>
  </si>
  <si>
    <t>Gauteng</t>
  </si>
  <si>
    <t>Wireless Mouse</t>
  </si>
  <si>
    <t>Electronics</t>
  </si>
  <si>
    <t>Thabo Nkosi</t>
  </si>
  <si>
    <t>Completed</t>
  </si>
  <si>
    <t>ORD002</t>
  </si>
  <si>
    <t>01/04/2026</t>
  </si>
  <si>
    <t xml:space="preserve">  Priya Pillay</t>
  </si>
  <si>
    <t>KZN</t>
  </si>
  <si>
    <t>Office Chair</t>
  </si>
  <si>
    <t>furniture</t>
  </si>
  <si>
    <t>Amahle Zulu</t>
  </si>
  <si>
    <t>completed</t>
  </si>
  <si>
    <t>ORD003</t>
  </si>
  <si>
    <t>Zanele Mokoena</t>
  </si>
  <si>
    <t>western cape</t>
  </si>
  <si>
    <t>Gaming Laptop</t>
  </si>
  <si>
    <t>Zanele Dlamini</t>
  </si>
  <si>
    <t>COMPLETED</t>
  </si>
  <si>
    <t>ORD004</t>
  </si>
  <si>
    <t>2026-04-02</t>
  </si>
  <si>
    <t>Riaan Botha</t>
  </si>
  <si>
    <t>GAUTENG</t>
  </si>
  <si>
    <t>Mechanical Keyboard</t>
  </si>
  <si>
    <t>ORD005</t>
  </si>
  <si>
    <t xml:space="preserve">Amahle Zulu </t>
  </si>
  <si>
    <t xml:space="preserve">KZN </t>
  </si>
  <si>
    <t>Webcam HD</t>
  </si>
  <si>
    <t>ORD006</t>
  </si>
  <si>
    <t>2026-04-03</t>
  </si>
  <si>
    <t>Lebo Mahlangu</t>
  </si>
  <si>
    <t>Limpopo</t>
  </si>
  <si>
    <t>Standing Desk</t>
  </si>
  <si>
    <t>Furniture</t>
  </si>
  <si>
    <t>Pending</t>
  </si>
  <si>
    <t>ORD007</t>
  </si>
  <si>
    <t>03/04/2026</t>
  </si>
  <si>
    <t>gauteng</t>
  </si>
  <si>
    <t>electronics</t>
  </si>
  <si>
    <t>ORD008</t>
  </si>
  <si>
    <t>Western Cape</t>
  </si>
  <si>
    <t>Notebook Bundle</t>
  </si>
  <si>
    <t>Stationery</t>
  </si>
  <si>
    <t>ORD009</t>
  </si>
  <si>
    <t>2026-04-04</t>
  </si>
  <si>
    <t>Nomsa Khumalo</t>
  </si>
  <si>
    <t>ORD010</t>
  </si>
  <si>
    <t>Pieter van Wyk</t>
  </si>
  <si>
    <t>Whiteboard</t>
  </si>
  <si>
    <t>cancelled</t>
  </si>
  <si>
    <t>ORD011</t>
  </si>
  <si>
    <t>2026-04-05</t>
  </si>
  <si>
    <t>Fatima Patel</t>
  </si>
  <si>
    <t>Wireless Headset</t>
  </si>
  <si>
    <t>ORD012</t>
  </si>
  <si>
    <t>05/04/2026</t>
  </si>
  <si>
    <t>ORD013</t>
  </si>
  <si>
    <t>David Moyo</t>
  </si>
  <si>
    <t>ORD014</t>
  </si>
  <si>
    <t>2026-04-06</t>
  </si>
  <si>
    <t xml:space="preserve">  Priya Pillay  </t>
  </si>
  <si>
    <t>USB-C Hub</t>
  </si>
  <si>
    <t>ORD015</t>
  </si>
  <si>
    <t>Western cape</t>
  </si>
  <si>
    <t>ORD016</t>
  </si>
  <si>
    <t>2026-04-07</t>
  </si>
  <si>
    <t>FURNITURE</t>
  </si>
  <si>
    <t>ORD017</t>
  </si>
  <si>
    <t>07/04/2026</t>
  </si>
  <si>
    <t>Kefilwe Sithole</t>
  </si>
  <si>
    <t>Returned</t>
  </si>
  <si>
    <t>ORD018</t>
  </si>
  <si>
    <t>ORD019</t>
  </si>
  <si>
    <t>2026-04-08</t>
  </si>
  <si>
    <t>limpopo</t>
  </si>
  <si>
    <t>stationery</t>
  </si>
  <si>
    <t>ORD020</t>
  </si>
  <si>
    <t>ORD021</t>
  </si>
  <si>
    <t>2026-04-09</t>
  </si>
  <si>
    <t>PENDING</t>
  </si>
  <si>
    <t>ORD022</t>
  </si>
  <si>
    <t>09/04/2026</t>
  </si>
  <si>
    <t>ORD023</t>
  </si>
  <si>
    <t>ORD024</t>
  </si>
  <si>
    <t>2026-04-10</t>
  </si>
  <si>
    <t>ORD025</t>
  </si>
  <si>
    <t>ORD026</t>
  </si>
  <si>
    <t>2026-04-11</t>
  </si>
  <si>
    <t>ORD027</t>
  </si>
  <si>
    <t>11/04/2026</t>
  </si>
  <si>
    <t>ORD028</t>
  </si>
  <si>
    <t>N/A</t>
  </si>
  <si>
    <t>ORD029</t>
  </si>
  <si>
    <t>2026-04-12</t>
  </si>
  <si>
    <t>ORD030</t>
  </si>
  <si>
    <t>ORD031</t>
  </si>
  <si>
    <t>13/04/2026</t>
  </si>
  <si>
    <t>ORD032</t>
  </si>
  <si>
    <t>2026-04-13</t>
  </si>
  <si>
    <t>ORD033</t>
  </si>
  <si>
    <t>ORD034</t>
  </si>
  <si>
    <t>2026-04-14</t>
  </si>
  <si>
    <t xml:space="preserve">  Kefilwe Sithole</t>
  </si>
  <si>
    <t>ORD035</t>
  </si>
  <si>
    <t>14/04/2026</t>
  </si>
  <si>
    <t>ORD036</t>
  </si>
  <si>
    <t>ORD037</t>
  </si>
  <si>
    <t>2026-04-15</t>
  </si>
  <si>
    <t>Priya Pillay</t>
  </si>
  <si>
    <t>ORD038</t>
  </si>
  <si>
    <t>ORD039</t>
  </si>
  <si>
    <t>15/04/2026</t>
  </si>
  <si>
    <t>LIMPOPO</t>
  </si>
  <si>
    <t>ORD040</t>
  </si>
  <si>
    <t>2026-04-16</t>
  </si>
  <si>
    <t>ORD041</t>
  </si>
  <si>
    <t>ORD042</t>
  </si>
  <si>
    <t>16/04/2026</t>
  </si>
  <si>
    <t>ORD043</t>
  </si>
  <si>
    <t>2026-04-17</t>
  </si>
  <si>
    <t>ORD044</t>
  </si>
  <si>
    <t>ORD045</t>
  </si>
  <si>
    <t>2026-04-18</t>
  </si>
  <si>
    <t>ORD046</t>
  </si>
  <si>
    <t>18/04/2026</t>
  </si>
  <si>
    <t>ORD047</t>
  </si>
  <si>
    <t>ORD048</t>
  </si>
  <si>
    <t>2026-04-19</t>
  </si>
  <si>
    <t>ORD049</t>
  </si>
  <si>
    <t>TBC</t>
  </si>
  <si>
    <t>ORD050</t>
  </si>
  <si>
    <t>19/04/2026</t>
  </si>
  <si>
    <t>#</t>
  </si>
  <si>
    <t>Cleaning Task</t>
  </si>
  <si>
    <t>What to Look For</t>
  </si>
  <si>
    <t>Excel Tool to Use</t>
  </si>
  <si>
    <t>Done?</t>
  </si>
  <si>
    <t>1</t>
  </si>
  <si>
    <t>Remove Duplicates</t>
  </si>
  <si>
    <t>OrderID ORD001 appears twice (rows 1 and 31)</t>
  </si>
  <si>
    <t>Data tab → Remove Duplicates</t>
  </si>
  <si>
    <t>2</t>
  </si>
  <si>
    <t>Standardise Region Names</t>
  </si>
  <si>
    <t>gauteng / GAUTENG / Gauteng / KZN  / western cape — all should be consistent</t>
  </si>
  <si>
    <t>Find &amp; Replace + TRIM()</t>
  </si>
  <si>
    <t>3</t>
  </si>
  <si>
    <t>Standardise Status Column</t>
  </si>
  <si>
    <t>completed / COMPLETED / Completed / cancelled — pick one format</t>
  </si>
  <si>
    <t>Find &amp; Replace + PROPER()</t>
  </si>
  <si>
    <t>4</t>
  </si>
  <si>
    <t>Standardise Category Column</t>
  </si>
  <si>
    <t>electronics / FURNITURE / stationery — fix casing</t>
  </si>
  <si>
    <t>5</t>
  </si>
  <si>
    <t>Fix Date Formats</t>
  </si>
  <si>
    <t>Mix of 2026-04-01 and 01/04/2026 — standardise all to one format</t>
  </si>
  <si>
    <t>Format Cells → Date</t>
  </si>
  <si>
    <t>6</t>
  </si>
  <si>
    <t>Remove Extra Spaces</t>
  </si>
  <si>
    <t>' Priya Pillay ' and 'KZN ' have trailing/leading spaces</t>
  </si>
  <si>
    <t>7</t>
  </si>
  <si>
    <t>Fix Missing Customer Names</t>
  </si>
  <si>
    <t>Rows 8, 24, 41 have blank CustomerName — flag these</t>
  </si>
  <si>
    <t>Go To Special → Blanks → highlight red</t>
  </si>
  <si>
    <t>8</t>
  </si>
  <si>
    <t>Fix Text in Number Columns</t>
  </si>
  <si>
    <t>TotalRevenue has 'N/A' (row 28) and 'TBC' (row 49) — cannot calculate</t>
  </si>
  <si>
    <t>Replace with 0 or flag as investigate</t>
  </si>
  <si>
    <t>9</t>
  </si>
  <si>
    <t>Fix Wrong Total Revenue</t>
  </si>
  <si>
    <t>Row 9: Qty 2 × R15,000 = R30,000 but shows R25,000. Row 42: Qty 1 × R15,000 = R15,000 but shows R14,000</t>
  </si>
  <si>
    <t>10</t>
  </si>
  <si>
    <t>Flag Negative Quantities</t>
  </si>
  <si>
    <t>Rows 17 and 38 have negative Qty (returns) — these need manager sign-off</t>
  </si>
  <si>
    <t>Filter → highlight orange</t>
  </si>
  <si>
    <t>11</t>
  </si>
  <si>
    <t>Verify All Revenue Calculations</t>
  </si>
  <si>
    <t>Add a check column: =Qty*UnitPrice and compare to TotalRevenue column</t>
  </si>
  <si>
    <t>Formula: =G2*H2</t>
  </si>
  <si>
    <t>Revenue Check (R)</t>
  </si>
  <si>
    <t>Flag</t>
  </si>
  <si>
    <t>← Paste your cleaned data here after fixing all issues in the checklist</t>
  </si>
  <si>
    <t>MONTHLY ORDERS REPORT — APRIL 2026</t>
  </si>
  <si>
    <t>Prepared by:</t>
  </si>
  <si>
    <t>Anotida Kanzara</t>
  </si>
  <si>
    <t>Date:</t>
  </si>
  <si>
    <t>SECTION 1 — REVENUE BY REGION</t>
  </si>
  <si>
    <t>Total Orders</t>
  </si>
  <si>
    <t>Total Revenue (R)</t>
  </si>
  <si>
    <t>% of Total</t>
  </si>
  <si>
    <t>GRAND TOTAL</t>
  </si>
  <si>
    <t>SECTION 2 — REVENUE BY CATEGORY</t>
  </si>
  <si>
    <t>SECTION 3 — TOP 5 PRODUCTS BY REVENUE</t>
  </si>
  <si>
    <t>Units Sold</t>
  </si>
  <si>
    <t>1.</t>
  </si>
  <si>
    <t>2.</t>
  </si>
  <si>
    <t>3.</t>
  </si>
  <si>
    <t>4.</t>
  </si>
  <si>
    <t>5.</t>
  </si>
  <si>
    <t>SECTION 4 — ORDERS REQUIRING INVESTIGATION</t>
  </si>
  <si>
    <t>Issue</t>
  </si>
  <si>
    <t>Action Required</t>
  </si>
  <si>
    <t>Revenue mismatch: R25,000 recorded vs R30,000 correct</t>
  </si>
  <si>
    <t>Verify with sales rep</t>
  </si>
  <si>
    <t>Negative quantity (-1) — possible return</t>
  </si>
  <si>
    <t>Confirm with manager</t>
  </si>
  <si>
    <t>Revenue shows N/A — cannot calculate</t>
  </si>
  <si>
    <t>Get correct figure from rep</t>
  </si>
  <si>
    <t>Negative quantity (-2) — possible return</t>
  </si>
  <si>
    <t>Revenue mismatch: R14,000 recorded vs R15,000 correct</t>
  </si>
  <si>
    <t>Revenue shows TBC — cannot calculate</t>
  </si>
  <si>
    <t>Rows 8,24,41</t>
  </si>
  <si>
    <t>Missing customer name</t>
  </si>
  <si>
    <t>Identify customer from order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</si>
</sst>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i/>
      <sz val="9"/>
      <color rgb="FF888888"/>
      <name val="Arial"/>
    </font>
    <font>
      <sz val="10"/>
      <name val="Arial"/>
    </font>
    <font>
      <b/>
      <sz val="14"/>
      <color rgb="FFFFFFFF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BF0FA"/>
      </patternFill>
    </fill>
    <fill>
      <patternFill patternType="solid">
        <fgColor rgb="FFF5F5F5"/>
      </patternFill>
    </fill>
    <fill>
      <patternFill patternType="solid">
        <fgColor rgb="FF1E6B3A"/>
      </patternFill>
    </fill>
    <fill>
      <patternFill patternType="solid">
        <fgColor rgb="FF2E5FA3"/>
      </patternFill>
    </fill>
    <fill>
      <patternFill patternType="solid">
        <fgColor rgb="FFBDD4F0"/>
      </patternFill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3" fillId="0" borderId="0" xfId="0" applyFont="1"/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22" customWidth="1"/>
    <col min="4" max="4" width="15" customWidth="1"/>
    <col min="5" max="5" width="22" customWidth="1"/>
    <col min="6" max="6" width="14" customWidth="1"/>
    <col min="7" max="7" width="10" customWidth="1"/>
    <col min="8" max="8" width="14" customWidth="1"/>
    <col min="9" max="10" width="16" customWidth="1"/>
    <col min="11" max="11" width="12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</v>
      </c>
      <c r="H2" s="2">
        <v>450</v>
      </c>
      <c r="I2" s="2">
        <v>900</v>
      </c>
      <c r="J2" s="2" t="s">
        <v>17</v>
      </c>
      <c r="K2" s="2" t="s">
        <v>18</v>
      </c>
    </row>
    <row r="3" spans="1:1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>
        <v>1</v>
      </c>
      <c r="H3" s="3">
        <v>3200</v>
      </c>
      <c r="I3" s="3">
        <v>3200</v>
      </c>
      <c r="J3" s="3" t="s">
        <v>25</v>
      </c>
      <c r="K3" s="3" t="s">
        <v>26</v>
      </c>
    </row>
    <row r="4" spans="1:11" x14ac:dyDescent="0.25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16</v>
      </c>
      <c r="G4" s="2">
        <v>1</v>
      </c>
      <c r="H4" s="2">
        <v>15000</v>
      </c>
      <c r="I4" s="2">
        <v>15000</v>
      </c>
      <c r="J4" s="2" t="s">
        <v>31</v>
      </c>
      <c r="K4" s="2" t="s">
        <v>32</v>
      </c>
    </row>
    <row r="5" spans="1:11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16</v>
      </c>
      <c r="G5" s="3">
        <v>3</v>
      </c>
      <c r="H5" s="3">
        <v>2100</v>
      </c>
      <c r="I5" s="3">
        <v>6300</v>
      </c>
      <c r="J5" s="3" t="s">
        <v>35</v>
      </c>
      <c r="K5" s="3" t="s">
        <v>18</v>
      </c>
    </row>
    <row r="6" spans="1:11" x14ac:dyDescent="0.25">
      <c r="A6" s="2" t="s">
        <v>38</v>
      </c>
      <c r="B6" s="2" t="s">
        <v>34</v>
      </c>
      <c r="C6" s="2" t="s">
        <v>39</v>
      </c>
      <c r="D6" s="2" t="s">
        <v>40</v>
      </c>
      <c r="E6" s="2" t="s">
        <v>41</v>
      </c>
      <c r="F6" s="2" t="s">
        <v>16</v>
      </c>
      <c r="G6" s="2">
        <v>2</v>
      </c>
      <c r="H6" s="2">
        <v>1200</v>
      </c>
      <c r="I6" s="2">
        <v>2400</v>
      </c>
      <c r="J6" s="2" t="s">
        <v>25</v>
      </c>
      <c r="K6" s="2" t="s">
        <v>18</v>
      </c>
    </row>
    <row r="7" spans="1:11" x14ac:dyDescent="0.25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>
        <v>1</v>
      </c>
      <c r="H7" s="3">
        <v>5500</v>
      </c>
      <c r="I7" s="3">
        <v>5500</v>
      </c>
      <c r="J7" s="3" t="s">
        <v>44</v>
      </c>
      <c r="K7" s="3" t="s">
        <v>48</v>
      </c>
    </row>
    <row r="8" spans="1:11" x14ac:dyDescent="0.25">
      <c r="A8" s="2" t="s">
        <v>49</v>
      </c>
      <c r="B8" s="2" t="s">
        <v>50</v>
      </c>
      <c r="C8" s="2" t="s">
        <v>17</v>
      </c>
      <c r="D8" s="2" t="s">
        <v>51</v>
      </c>
      <c r="E8" s="2" t="s">
        <v>15</v>
      </c>
      <c r="F8" s="2" t="s">
        <v>52</v>
      </c>
      <c r="G8" s="2">
        <v>5</v>
      </c>
      <c r="H8" s="2">
        <v>450</v>
      </c>
      <c r="I8" s="2">
        <v>2250</v>
      </c>
      <c r="J8" s="2" t="s">
        <v>17</v>
      </c>
      <c r="K8" s="2" t="s">
        <v>18</v>
      </c>
    </row>
    <row r="9" spans="1:11" x14ac:dyDescent="0.25">
      <c r="A9" s="3" t="s">
        <v>53</v>
      </c>
      <c r="B9" s="3" t="s">
        <v>43</v>
      </c>
      <c r="C9" s="3"/>
      <c r="D9" s="3" t="s">
        <v>54</v>
      </c>
      <c r="E9" s="3" t="s">
        <v>55</v>
      </c>
      <c r="F9" s="3" t="s">
        <v>56</v>
      </c>
      <c r="G9" s="3">
        <v>10</v>
      </c>
      <c r="H9" s="3">
        <v>350</v>
      </c>
      <c r="I9" s="3">
        <v>3500</v>
      </c>
      <c r="J9" s="3" t="s">
        <v>31</v>
      </c>
      <c r="K9" s="3" t="s">
        <v>18</v>
      </c>
    </row>
    <row r="10" spans="1:11" x14ac:dyDescent="0.25">
      <c r="A10" s="2" t="s">
        <v>57</v>
      </c>
      <c r="B10" s="2" t="s">
        <v>58</v>
      </c>
      <c r="C10" s="2" t="s">
        <v>59</v>
      </c>
      <c r="D10" s="2" t="s">
        <v>22</v>
      </c>
      <c r="E10" s="2" t="s">
        <v>30</v>
      </c>
      <c r="F10" s="2" t="s">
        <v>16</v>
      </c>
      <c r="G10" s="2">
        <v>2</v>
      </c>
      <c r="H10" s="2">
        <v>15000</v>
      </c>
      <c r="I10" s="2">
        <v>25000</v>
      </c>
      <c r="J10" s="2" t="s">
        <v>25</v>
      </c>
      <c r="K10" s="2" t="s">
        <v>18</v>
      </c>
    </row>
    <row r="11" spans="1:11" x14ac:dyDescent="0.25">
      <c r="A11" s="3" t="s">
        <v>60</v>
      </c>
      <c r="B11" s="3" t="s">
        <v>58</v>
      </c>
      <c r="C11" s="3" t="s">
        <v>61</v>
      </c>
      <c r="D11" s="3" t="s">
        <v>14</v>
      </c>
      <c r="E11" s="3" t="s">
        <v>62</v>
      </c>
      <c r="F11" s="3" t="s">
        <v>56</v>
      </c>
      <c r="G11" s="3">
        <v>3</v>
      </c>
      <c r="H11" s="3">
        <v>890</v>
      </c>
      <c r="I11" s="3">
        <v>2670</v>
      </c>
      <c r="J11" s="3" t="s">
        <v>35</v>
      </c>
      <c r="K11" s="3" t="s">
        <v>63</v>
      </c>
    </row>
    <row r="12" spans="1:11" x14ac:dyDescent="0.25">
      <c r="A12" s="2" t="s">
        <v>64</v>
      </c>
      <c r="B12" s="2" t="s">
        <v>65</v>
      </c>
      <c r="C12" s="2" t="s">
        <v>66</v>
      </c>
      <c r="D12" s="2" t="s">
        <v>54</v>
      </c>
      <c r="E12" s="2" t="s">
        <v>67</v>
      </c>
      <c r="F12" s="2" t="s">
        <v>16</v>
      </c>
      <c r="G12" s="2">
        <v>4</v>
      </c>
      <c r="H12" s="2">
        <v>1800</v>
      </c>
      <c r="I12" s="2">
        <v>7200</v>
      </c>
      <c r="J12" s="2" t="s">
        <v>31</v>
      </c>
      <c r="K12" s="2" t="s">
        <v>18</v>
      </c>
    </row>
    <row r="13" spans="1:11" x14ac:dyDescent="0.25">
      <c r="A13" s="3" t="s">
        <v>68</v>
      </c>
      <c r="B13" s="3" t="s">
        <v>69</v>
      </c>
      <c r="C13" s="3" t="s">
        <v>13</v>
      </c>
      <c r="D13" s="3" t="s">
        <v>14</v>
      </c>
      <c r="E13" s="3" t="s">
        <v>15</v>
      </c>
      <c r="F13" s="3" t="s">
        <v>16</v>
      </c>
      <c r="G13" s="3">
        <v>2</v>
      </c>
      <c r="H13" s="3">
        <v>450</v>
      </c>
      <c r="I13" s="3">
        <v>900</v>
      </c>
      <c r="J13" s="3" t="s">
        <v>17</v>
      </c>
      <c r="K13" s="3" t="s">
        <v>18</v>
      </c>
    </row>
    <row r="14" spans="1:11" x14ac:dyDescent="0.25">
      <c r="A14" s="2" t="s">
        <v>70</v>
      </c>
      <c r="B14" s="2" t="s">
        <v>65</v>
      </c>
      <c r="C14" s="2" t="s">
        <v>71</v>
      </c>
      <c r="D14" s="2" t="s">
        <v>45</v>
      </c>
      <c r="E14" s="2" t="s">
        <v>23</v>
      </c>
      <c r="F14" s="2" t="s">
        <v>47</v>
      </c>
      <c r="G14" s="2">
        <v>2</v>
      </c>
      <c r="H14" s="2">
        <v>3200</v>
      </c>
      <c r="I14" s="2">
        <v>6400</v>
      </c>
      <c r="J14" s="2" t="s">
        <v>44</v>
      </c>
      <c r="K14" s="2" t="s">
        <v>48</v>
      </c>
    </row>
    <row r="15" spans="1:11" x14ac:dyDescent="0.25">
      <c r="A15" s="3" t="s">
        <v>72</v>
      </c>
      <c r="B15" s="3" t="s">
        <v>73</v>
      </c>
      <c r="C15" s="3" t="s">
        <v>74</v>
      </c>
      <c r="D15" s="3" t="s">
        <v>22</v>
      </c>
      <c r="E15" s="3" t="s">
        <v>75</v>
      </c>
      <c r="F15" s="3" t="s">
        <v>16</v>
      </c>
      <c r="G15" s="3">
        <v>3</v>
      </c>
      <c r="H15" s="3">
        <v>600</v>
      </c>
      <c r="I15" s="3">
        <v>1800</v>
      </c>
      <c r="J15" s="3" t="s">
        <v>25</v>
      </c>
      <c r="K15" s="3" t="s">
        <v>18</v>
      </c>
    </row>
    <row r="16" spans="1:11" x14ac:dyDescent="0.25">
      <c r="A16" s="2" t="s">
        <v>76</v>
      </c>
      <c r="B16" s="2" t="s">
        <v>73</v>
      </c>
      <c r="C16" s="2" t="s">
        <v>28</v>
      </c>
      <c r="D16" s="2" t="s">
        <v>77</v>
      </c>
      <c r="E16" s="2" t="s">
        <v>30</v>
      </c>
      <c r="F16" s="2" t="s">
        <v>16</v>
      </c>
      <c r="G16" s="2">
        <v>1</v>
      </c>
      <c r="H16" s="2">
        <v>15000</v>
      </c>
      <c r="I16" s="2">
        <v>15000</v>
      </c>
      <c r="J16" s="2" t="s">
        <v>31</v>
      </c>
      <c r="K16" s="2" t="s">
        <v>18</v>
      </c>
    </row>
    <row r="17" spans="1:11" x14ac:dyDescent="0.25">
      <c r="A17" s="3" t="s">
        <v>78</v>
      </c>
      <c r="B17" s="3" t="s">
        <v>79</v>
      </c>
      <c r="C17" s="3" t="s">
        <v>35</v>
      </c>
      <c r="D17" s="3" t="s">
        <v>14</v>
      </c>
      <c r="E17" s="3" t="s">
        <v>46</v>
      </c>
      <c r="F17" s="3" t="s">
        <v>80</v>
      </c>
      <c r="G17" s="3">
        <v>1</v>
      </c>
      <c r="H17" s="3">
        <v>5500</v>
      </c>
      <c r="I17" s="3">
        <v>5500</v>
      </c>
      <c r="J17" s="3" t="s">
        <v>35</v>
      </c>
      <c r="K17" s="3" t="s">
        <v>26</v>
      </c>
    </row>
    <row r="18" spans="1:11" x14ac:dyDescent="0.25">
      <c r="A18" s="2" t="s">
        <v>81</v>
      </c>
      <c r="B18" s="2" t="s">
        <v>82</v>
      </c>
      <c r="C18" s="2" t="s">
        <v>83</v>
      </c>
      <c r="D18" s="2" t="s">
        <v>36</v>
      </c>
      <c r="E18" s="2" t="s">
        <v>37</v>
      </c>
      <c r="F18" s="2" t="s">
        <v>16</v>
      </c>
      <c r="G18" s="2">
        <v>-1</v>
      </c>
      <c r="H18" s="2">
        <v>2100</v>
      </c>
      <c r="I18" s="2"/>
      <c r="J18" s="2" t="s">
        <v>17</v>
      </c>
      <c r="K18" s="2" t="s">
        <v>84</v>
      </c>
    </row>
    <row r="19" spans="1:11" x14ac:dyDescent="0.25">
      <c r="A19" s="3" t="s">
        <v>85</v>
      </c>
      <c r="B19" s="3" t="s">
        <v>79</v>
      </c>
      <c r="C19" s="3" t="s">
        <v>59</v>
      </c>
      <c r="D19" s="3" t="s">
        <v>22</v>
      </c>
      <c r="E19" s="3" t="s">
        <v>41</v>
      </c>
      <c r="F19" s="3" t="s">
        <v>16</v>
      </c>
      <c r="G19" s="3">
        <v>1</v>
      </c>
      <c r="H19" s="3">
        <v>1200</v>
      </c>
      <c r="I19" s="3">
        <v>1200</v>
      </c>
      <c r="J19" s="3" t="s">
        <v>25</v>
      </c>
      <c r="K19" s="3" t="s">
        <v>18</v>
      </c>
    </row>
    <row r="20" spans="1:11" x14ac:dyDescent="0.25">
      <c r="A20" s="2" t="s">
        <v>86</v>
      </c>
      <c r="B20" s="2" t="s">
        <v>87</v>
      </c>
      <c r="C20" s="2" t="s">
        <v>44</v>
      </c>
      <c r="D20" s="2" t="s">
        <v>88</v>
      </c>
      <c r="E20" s="2" t="s">
        <v>55</v>
      </c>
      <c r="F20" s="2" t="s">
        <v>89</v>
      </c>
      <c r="G20" s="2">
        <v>20</v>
      </c>
      <c r="H20" s="2">
        <v>350</v>
      </c>
      <c r="I20" s="2">
        <v>7000</v>
      </c>
      <c r="J20" s="2" t="s">
        <v>44</v>
      </c>
      <c r="K20" s="2" t="s">
        <v>18</v>
      </c>
    </row>
    <row r="21" spans="1:11" x14ac:dyDescent="0.25">
      <c r="A21" s="3" t="s">
        <v>90</v>
      </c>
      <c r="B21" s="3" t="s">
        <v>87</v>
      </c>
      <c r="C21" s="3" t="s">
        <v>61</v>
      </c>
      <c r="D21" s="3" t="s">
        <v>14</v>
      </c>
      <c r="E21" s="3" t="s">
        <v>67</v>
      </c>
      <c r="F21" s="3" t="s">
        <v>16</v>
      </c>
      <c r="G21" s="3">
        <v>2</v>
      </c>
      <c r="H21" s="3">
        <v>1800</v>
      </c>
      <c r="I21" s="3">
        <v>3600</v>
      </c>
      <c r="J21" s="3" t="s">
        <v>35</v>
      </c>
      <c r="K21" s="3" t="s">
        <v>18</v>
      </c>
    </row>
    <row r="22" spans="1:11" x14ac:dyDescent="0.25">
      <c r="A22" s="2" t="s">
        <v>91</v>
      </c>
      <c r="B22" s="2" t="s">
        <v>92</v>
      </c>
      <c r="C22" s="2" t="s">
        <v>66</v>
      </c>
      <c r="D22" s="2" t="s">
        <v>54</v>
      </c>
      <c r="E22" s="2" t="s">
        <v>23</v>
      </c>
      <c r="F22" s="2" t="s">
        <v>47</v>
      </c>
      <c r="G22" s="2">
        <v>1</v>
      </c>
      <c r="H22" s="2">
        <v>3200</v>
      </c>
      <c r="I22" s="2">
        <v>3200</v>
      </c>
      <c r="J22" s="2" t="s">
        <v>31</v>
      </c>
      <c r="K22" s="2" t="s">
        <v>93</v>
      </c>
    </row>
    <row r="23" spans="1:11" x14ac:dyDescent="0.25">
      <c r="A23" s="3" t="s">
        <v>94</v>
      </c>
      <c r="B23" s="3" t="s">
        <v>95</v>
      </c>
      <c r="C23" s="3" t="s">
        <v>13</v>
      </c>
      <c r="D23" s="3" t="s">
        <v>51</v>
      </c>
      <c r="E23" s="3" t="s">
        <v>75</v>
      </c>
      <c r="F23" s="3" t="s">
        <v>16</v>
      </c>
      <c r="G23" s="3">
        <v>4</v>
      </c>
      <c r="H23" s="3">
        <v>600</v>
      </c>
      <c r="I23" s="3">
        <v>2400</v>
      </c>
      <c r="J23" s="3" t="s">
        <v>17</v>
      </c>
      <c r="K23" s="3" t="s">
        <v>18</v>
      </c>
    </row>
    <row r="24" spans="1:11" x14ac:dyDescent="0.25">
      <c r="A24" s="2" t="s">
        <v>96</v>
      </c>
      <c r="B24" s="2" t="s">
        <v>92</v>
      </c>
      <c r="C24" s="2" t="s">
        <v>71</v>
      </c>
      <c r="D24" s="2" t="s">
        <v>45</v>
      </c>
      <c r="E24" s="2" t="s">
        <v>62</v>
      </c>
      <c r="F24" s="2" t="s">
        <v>56</v>
      </c>
      <c r="G24" s="2">
        <v>2</v>
      </c>
      <c r="H24" s="2">
        <v>890</v>
      </c>
      <c r="I24" s="2">
        <v>1780</v>
      </c>
      <c r="J24" s="2" t="s">
        <v>44</v>
      </c>
      <c r="K24" s="2" t="s">
        <v>18</v>
      </c>
    </row>
    <row r="25" spans="1:11" x14ac:dyDescent="0.25">
      <c r="A25" s="3" t="s">
        <v>97</v>
      </c>
      <c r="B25" s="3" t="s">
        <v>98</v>
      </c>
      <c r="C25" s="3"/>
      <c r="D25" s="3" t="s">
        <v>22</v>
      </c>
      <c r="E25" s="3" t="s">
        <v>30</v>
      </c>
      <c r="F25" s="3" t="s">
        <v>16</v>
      </c>
      <c r="G25" s="3">
        <v>1</v>
      </c>
      <c r="H25" s="3">
        <v>15000</v>
      </c>
      <c r="I25" s="3">
        <v>15000</v>
      </c>
      <c r="J25" s="3" t="s">
        <v>25</v>
      </c>
      <c r="K25" s="3" t="s">
        <v>18</v>
      </c>
    </row>
    <row r="26" spans="1:11" x14ac:dyDescent="0.25">
      <c r="A26" s="2" t="s">
        <v>99</v>
      </c>
      <c r="B26" s="2" t="s">
        <v>98</v>
      </c>
      <c r="C26" s="2" t="s">
        <v>83</v>
      </c>
      <c r="D26" s="2" t="s">
        <v>14</v>
      </c>
      <c r="E26" s="2" t="s">
        <v>15</v>
      </c>
      <c r="F26" s="2" t="s">
        <v>52</v>
      </c>
      <c r="G26" s="2">
        <v>6</v>
      </c>
      <c r="H26" s="2">
        <v>450</v>
      </c>
      <c r="I26" s="2">
        <v>2700</v>
      </c>
      <c r="J26" s="2" t="s">
        <v>17</v>
      </c>
      <c r="K26" s="2" t="s">
        <v>18</v>
      </c>
    </row>
    <row r="27" spans="1:11" x14ac:dyDescent="0.25">
      <c r="A27" s="3" t="s">
        <v>100</v>
      </c>
      <c r="B27" s="3" t="s">
        <v>101</v>
      </c>
      <c r="C27" s="3" t="s">
        <v>28</v>
      </c>
      <c r="D27" s="3" t="s">
        <v>54</v>
      </c>
      <c r="E27" s="3" t="s">
        <v>37</v>
      </c>
      <c r="F27" s="3" t="s">
        <v>16</v>
      </c>
      <c r="G27" s="3">
        <v>2</v>
      </c>
      <c r="H27" s="3">
        <v>2100</v>
      </c>
      <c r="I27" s="3">
        <v>4200</v>
      </c>
      <c r="J27" s="3" t="s">
        <v>31</v>
      </c>
      <c r="K27" s="3" t="s">
        <v>18</v>
      </c>
    </row>
    <row r="28" spans="1:11" x14ac:dyDescent="0.25">
      <c r="A28" s="2" t="s">
        <v>102</v>
      </c>
      <c r="B28" s="2" t="s">
        <v>103</v>
      </c>
      <c r="C28" s="2" t="s">
        <v>59</v>
      </c>
      <c r="D28" s="2" t="s">
        <v>40</v>
      </c>
      <c r="E28" s="2" t="s">
        <v>46</v>
      </c>
      <c r="F28" s="2" t="s">
        <v>47</v>
      </c>
      <c r="G28" s="2">
        <v>1</v>
      </c>
      <c r="H28" s="2">
        <v>5500</v>
      </c>
      <c r="I28" s="2">
        <v>5500</v>
      </c>
      <c r="J28" s="2" t="s">
        <v>25</v>
      </c>
      <c r="K28" s="2" t="s">
        <v>26</v>
      </c>
    </row>
    <row r="29" spans="1:11" x14ac:dyDescent="0.25">
      <c r="A29" s="3" t="s">
        <v>104</v>
      </c>
      <c r="B29" s="3" t="s">
        <v>101</v>
      </c>
      <c r="C29" s="3" t="s">
        <v>35</v>
      </c>
      <c r="D29" s="3" t="s">
        <v>36</v>
      </c>
      <c r="E29" s="3" t="s">
        <v>55</v>
      </c>
      <c r="F29" s="3" t="s">
        <v>56</v>
      </c>
      <c r="G29" s="3">
        <v>15</v>
      </c>
      <c r="H29" s="3">
        <v>350</v>
      </c>
      <c r="I29" s="3" t="s">
        <v>105</v>
      </c>
      <c r="J29" s="3" t="s">
        <v>35</v>
      </c>
      <c r="K29" s="3" t="s">
        <v>18</v>
      </c>
    </row>
    <row r="30" spans="1:11" x14ac:dyDescent="0.25">
      <c r="A30" s="2" t="s">
        <v>106</v>
      </c>
      <c r="B30" s="2" t="s">
        <v>107</v>
      </c>
      <c r="C30" s="2" t="s">
        <v>44</v>
      </c>
      <c r="D30" s="2" t="s">
        <v>45</v>
      </c>
      <c r="E30" s="2" t="s">
        <v>41</v>
      </c>
      <c r="F30" s="2" t="s">
        <v>16</v>
      </c>
      <c r="G30" s="2">
        <v>3</v>
      </c>
      <c r="H30" s="2">
        <v>1200</v>
      </c>
      <c r="I30" s="2">
        <v>3600</v>
      </c>
      <c r="J30" s="2" t="s">
        <v>44</v>
      </c>
      <c r="K30" s="2" t="s">
        <v>18</v>
      </c>
    </row>
    <row r="31" spans="1:11" x14ac:dyDescent="0.25">
      <c r="A31" s="3" t="s">
        <v>108</v>
      </c>
      <c r="B31" s="3" t="s">
        <v>107</v>
      </c>
      <c r="C31" s="3" t="s">
        <v>66</v>
      </c>
      <c r="D31" s="3" t="s">
        <v>54</v>
      </c>
      <c r="E31" s="3" t="s">
        <v>67</v>
      </c>
      <c r="F31" s="3" t="s">
        <v>16</v>
      </c>
      <c r="G31" s="3">
        <v>2</v>
      </c>
      <c r="H31" s="3">
        <v>1800</v>
      </c>
      <c r="I31" s="3">
        <v>3600</v>
      </c>
      <c r="J31" s="3" t="s">
        <v>31</v>
      </c>
      <c r="K31" s="3" t="s">
        <v>18</v>
      </c>
    </row>
    <row r="32" spans="1:11" x14ac:dyDescent="0.25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16</v>
      </c>
      <c r="G32" s="2">
        <v>2</v>
      </c>
      <c r="H32" s="2">
        <v>450</v>
      </c>
      <c r="I32" s="2">
        <v>900</v>
      </c>
      <c r="J32" s="2" t="s">
        <v>17</v>
      </c>
      <c r="K32" s="2" t="s">
        <v>18</v>
      </c>
    </row>
    <row r="33" spans="1:11" x14ac:dyDescent="0.25">
      <c r="A33" s="3" t="s">
        <v>109</v>
      </c>
      <c r="B33" s="3" t="s">
        <v>110</v>
      </c>
      <c r="C33" s="3" t="s">
        <v>61</v>
      </c>
      <c r="D33" s="3" t="s">
        <v>51</v>
      </c>
      <c r="E33" s="3" t="s">
        <v>75</v>
      </c>
      <c r="F33" s="3" t="s">
        <v>52</v>
      </c>
      <c r="G33" s="3">
        <v>5</v>
      </c>
      <c r="H33" s="3">
        <v>600</v>
      </c>
      <c r="I33" s="3">
        <v>3000</v>
      </c>
      <c r="J33" s="3" t="s">
        <v>17</v>
      </c>
      <c r="K33" s="3" t="s">
        <v>18</v>
      </c>
    </row>
    <row r="34" spans="1:11" x14ac:dyDescent="0.25">
      <c r="A34" s="2" t="s">
        <v>111</v>
      </c>
      <c r="B34" s="2" t="s">
        <v>112</v>
      </c>
      <c r="C34" s="2" t="s">
        <v>71</v>
      </c>
      <c r="D34" s="2" t="s">
        <v>45</v>
      </c>
      <c r="E34" s="2" t="s">
        <v>23</v>
      </c>
      <c r="F34" s="2" t="s">
        <v>47</v>
      </c>
      <c r="G34" s="2">
        <v>1</v>
      </c>
      <c r="H34" s="2">
        <v>3200</v>
      </c>
      <c r="I34" s="2">
        <v>3200</v>
      </c>
      <c r="J34" s="2" t="s">
        <v>44</v>
      </c>
      <c r="K34" s="2" t="s">
        <v>32</v>
      </c>
    </row>
    <row r="35" spans="1:11" x14ac:dyDescent="0.25">
      <c r="A35" s="3" t="s">
        <v>113</v>
      </c>
      <c r="B35" s="3" t="s">
        <v>112</v>
      </c>
      <c r="C35" s="3" t="s">
        <v>13</v>
      </c>
      <c r="D35" s="3" t="s">
        <v>14</v>
      </c>
      <c r="E35" s="3" t="s">
        <v>30</v>
      </c>
      <c r="F35" s="3" t="s">
        <v>16</v>
      </c>
      <c r="G35" s="3">
        <v>1</v>
      </c>
      <c r="H35" s="3">
        <v>15000</v>
      </c>
      <c r="I35" s="3">
        <v>15000</v>
      </c>
      <c r="J35" s="3" t="s">
        <v>17</v>
      </c>
      <c r="K35" s="3" t="s">
        <v>48</v>
      </c>
    </row>
    <row r="36" spans="1:11" x14ac:dyDescent="0.25">
      <c r="A36" s="2" t="s">
        <v>114</v>
      </c>
      <c r="B36" s="2" t="s">
        <v>115</v>
      </c>
      <c r="C36" s="2" t="s">
        <v>116</v>
      </c>
      <c r="D36" s="2" t="s">
        <v>14</v>
      </c>
      <c r="E36" s="2" t="s">
        <v>62</v>
      </c>
      <c r="F36" s="2" t="s">
        <v>56</v>
      </c>
      <c r="G36" s="2">
        <v>4</v>
      </c>
      <c r="H36" s="2">
        <v>890</v>
      </c>
      <c r="I36" s="2">
        <v>3560</v>
      </c>
      <c r="J36" s="2" t="s">
        <v>35</v>
      </c>
      <c r="K36" s="2" t="s">
        <v>18</v>
      </c>
    </row>
    <row r="37" spans="1:11" x14ac:dyDescent="0.25">
      <c r="A37" s="3" t="s">
        <v>117</v>
      </c>
      <c r="B37" s="3" t="s">
        <v>118</v>
      </c>
      <c r="C37" s="3" t="s">
        <v>59</v>
      </c>
      <c r="D37" s="3" t="s">
        <v>22</v>
      </c>
      <c r="E37" s="3" t="s">
        <v>15</v>
      </c>
      <c r="F37" s="3" t="s">
        <v>16</v>
      </c>
      <c r="G37" s="3">
        <v>3</v>
      </c>
      <c r="H37" s="3">
        <v>450</v>
      </c>
      <c r="I37" s="3">
        <v>1350</v>
      </c>
      <c r="J37" s="3" t="s">
        <v>25</v>
      </c>
      <c r="K37" s="3" t="s">
        <v>26</v>
      </c>
    </row>
    <row r="38" spans="1:11" x14ac:dyDescent="0.25">
      <c r="A38" s="2" t="s">
        <v>119</v>
      </c>
      <c r="B38" s="2" t="s">
        <v>115</v>
      </c>
      <c r="C38" s="2" t="s">
        <v>28</v>
      </c>
      <c r="D38" s="2" t="s">
        <v>29</v>
      </c>
      <c r="E38" s="2" t="s">
        <v>37</v>
      </c>
      <c r="F38" s="2" t="s">
        <v>16</v>
      </c>
      <c r="G38" s="2">
        <v>1</v>
      </c>
      <c r="H38" s="2">
        <v>2100</v>
      </c>
      <c r="I38" s="2">
        <v>2100</v>
      </c>
      <c r="J38" s="2" t="s">
        <v>31</v>
      </c>
      <c r="K38" s="2" t="s">
        <v>18</v>
      </c>
    </row>
    <row r="39" spans="1:11" x14ac:dyDescent="0.25">
      <c r="A39" s="3" t="s">
        <v>120</v>
      </c>
      <c r="B39" s="3" t="s">
        <v>121</v>
      </c>
      <c r="C39" s="3" t="s">
        <v>122</v>
      </c>
      <c r="D39" s="3" t="s">
        <v>22</v>
      </c>
      <c r="E39" s="3" t="s">
        <v>55</v>
      </c>
      <c r="F39" s="3" t="s">
        <v>56</v>
      </c>
      <c r="G39" s="3">
        <v>8</v>
      </c>
      <c r="H39" s="3">
        <v>350</v>
      </c>
      <c r="I39" s="3">
        <v>2800</v>
      </c>
      <c r="J39" s="3" t="s">
        <v>25</v>
      </c>
      <c r="K39" s="3" t="s">
        <v>18</v>
      </c>
    </row>
    <row r="40" spans="1:11" x14ac:dyDescent="0.25">
      <c r="A40" s="2" t="s">
        <v>123</v>
      </c>
      <c r="B40" s="2" t="s">
        <v>121</v>
      </c>
      <c r="C40" s="2" t="s">
        <v>35</v>
      </c>
      <c r="D40" s="2" t="s">
        <v>14</v>
      </c>
      <c r="E40" s="2" t="s">
        <v>46</v>
      </c>
      <c r="F40" s="2" t="s">
        <v>24</v>
      </c>
      <c r="G40" s="2">
        <v>-2</v>
      </c>
      <c r="H40" s="2">
        <v>5500</v>
      </c>
      <c r="I40" s="2"/>
      <c r="J40" s="2" t="s">
        <v>35</v>
      </c>
      <c r="K40" s="2" t="s">
        <v>84</v>
      </c>
    </row>
    <row r="41" spans="1:11" x14ac:dyDescent="0.25">
      <c r="A41" s="3" t="s">
        <v>124</v>
      </c>
      <c r="B41" s="3" t="s">
        <v>125</v>
      </c>
      <c r="C41" s="3" t="s">
        <v>44</v>
      </c>
      <c r="D41" s="3" t="s">
        <v>126</v>
      </c>
      <c r="E41" s="3" t="s">
        <v>67</v>
      </c>
      <c r="F41" s="3" t="s">
        <v>16</v>
      </c>
      <c r="G41" s="3">
        <v>2</v>
      </c>
      <c r="H41" s="3">
        <v>1800</v>
      </c>
      <c r="I41" s="3">
        <v>3600</v>
      </c>
      <c r="J41" s="3" t="s">
        <v>44</v>
      </c>
      <c r="K41" s="3" t="s">
        <v>18</v>
      </c>
    </row>
    <row r="42" spans="1:11" x14ac:dyDescent="0.25">
      <c r="A42" s="2" t="s">
        <v>127</v>
      </c>
      <c r="B42" s="2" t="s">
        <v>128</v>
      </c>
      <c r="C42" s="2" t="s">
        <v>66</v>
      </c>
      <c r="D42" s="2" t="s">
        <v>54</v>
      </c>
      <c r="E42" s="2" t="s">
        <v>75</v>
      </c>
      <c r="F42" s="2" t="s">
        <v>16</v>
      </c>
      <c r="G42" s="2">
        <v>6</v>
      </c>
      <c r="H42" s="2">
        <v>600</v>
      </c>
      <c r="I42" s="2">
        <v>3600</v>
      </c>
      <c r="J42" s="2" t="s">
        <v>31</v>
      </c>
      <c r="K42" s="2" t="s">
        <v>18</v>
      </c>
    </row>
    <row r="43" spans="1:11" x14ac:dyDescent="0.25">
      <c r="A43" s="3" t="s">
        <v>129</v>
      </c>
      <c r="B43" s="3" t="s">
        <v>128</v>
      </c>
      <c r="C43" s="3"/>
      <c r="D43" s="3" t="s">
        <v>14</v>
      </c>
      <c r="E43" s="3" t="s">
        <v>41</v>
      </c>
      <c r="F43" s="3" t="s">
        <v>16</v>
      </c>
      <c r="G43" s="3">
        <v>2</v>
      </c>
      <c r="H43" s="3">
        <v>1200</v>
      </c>
      <c r="I43" s="3">
        <v>2400</v>
      </c>
      <c r="J43" s="3" t="s">
        <v>17</v>
      </c>
      <c r="K43" s="3" t="s">
        <v>18</v>
      </c>
    </row>
    <row r="44" spans="1:11" x14ac:dyDescent="0.25">
      <c r="A44" s="2" t="s">
        <v>130</v>
      </c>
      <c r="B44" s="2" t="s">
        <v>131</v>
      </c>
      <c r="C44" s="2" t="s">
        <v>61</v>
      </c>
      <c r="D44" s="2" t="s">
        <v>14</v>
      </c>
      <c r="E44" s="2" t="s">
        <v>30</v>
      </c>
      <c r="F44" s="2" t="s">
        <v>52</v>
      </c>
      <c r="G44" s="2">
        <v>1</v>
      </c>
      <c r="H44" s="2">
        <v>15000</v>
      </c>
      <c r="I44" s="2">
        <v>14000</v>
      </c>
      <c r="J44" s="2" t="s">
        <v>35</v>
      </c>
      <c r="K44" s="2" t="s">
        <v>18</v>
      </c>
    </row>
    <row r="45" spans="1:11" x14ac:dyDescent="0.25">
      <c r="A45" s="3" t="s">
        <v>132</v>
      </c>
      <c r="B45" s="3" t="s">
        <v>133</v>
      </c>
      <c r="C45" s="3" t="s">
        <v>13</v>
      </c>
      <c r="D45" s="3" t="s">
        <v>51</v>
      </c>
      <c r="E45" s="3" t="s">
        <v>23</v>
      </c>
      <c r="F45" s="3" t="s">
        <v>47</v>
      </c>
      <c r="G45" s="3">
        <v>1</v>
      </c>
      <c r="H45" s="3">
        <v>3200</v>
      </c>
      <c r="I45" s="3">
        <v>3200</v>
      </c>
      <c r="J45" s="3" t="s">
        <v>17</v>
      </c>
      <c r="K45" s="3" t="s">
        <v>32</v>
      </c>
    </row>
    <row r="46" spans="1:11" x14ac:dyDescent="0.25">
      <c r="A46" s="2" t="s">
        <v>134</v>
      </c>
      <c r="B46" s="2" t="s">
        <v>133</v>
      </c>
      <c r="C46" s="2" t="s">
        <v>71</v>
      </c>
      <c r="D46" s="2" t="s">
        <v>88</v>
      </c>
      <c r="E46" s="2" t="s">
        <v>15</v>
      </c>
      <c r="F46" s="2" t="s">
        <v>16</v>
      </c>
      <c r="G46" s="2">
        <v>4</v>
      </c>
      <c r="H46" s="2">
        <v>450</v>
      </c>
      <c r="I46" s="2">
        <v>1800</v>
      </c>
      <c r="J46" s="2" t="s">
        <v>44</v>
      </c>
      <c r="K46" s="2" t="s">
        <v>18</v>
      </c>
    </row>
    <row r="47" spans="1:11" x14ac:dyDescent="0.25">
      <c r="A47" s="3" t="s">
        <v>135</v>
      </c>
      <c r="B47" s="3" t="s">
        <v>136</v>
      </c>
      <c r="C47" s="3" t="s">
        <v>83</v>
      </c>
      <c r="D47" s="3" t="s">
        <v>14</v>
      </c>
      <c r="E47" s="3" t="s">
        <v>37</v>
      </c>
      <c r="F47" s="3" t="s">
        <v>16</v>
      </c>
      <c r="G47" s="3">
        <v>2</v>
      </c>
      <c r="H47" s="3">
        <v>2100</v>
      </c>
      <c r="I47" s="3">
        <v>4200</v>
      </c>
      <c r="J47" s="3" t="s">
        <v>35</v>
      </c>
      <c r="K47" s="3" t="s">
        <v>48</v>
      </c>
    </row>
    <row r="48" spans="1:11" x14ac:dyDescent="0.25">
      <c r="A48" s="2" t="s">
        <v>137</v>
      </c>
      <c r="B48" s="2" t="s">
        <v>138</v>
      </c>
      <c r="C48" s="2" t="s">
        <v>59</v>
      </c>
      <c r="D48" s="2" t="s">
        <v>22</v>
      </c>
      <c r="E48" s="2" t="s">
        <v>46</v>
      </c>
      <c r="F48" s="2" t="s">
        <v>47</v>
      </c>
      <c r="G48" s="2">
        <v>1</v>
      </c>
      <c r="H48" s="2">
        <v>5500</v>
      </c>
      <c r="I48" s="2">
        <v>5500</v>
      </c>
      <c r="J48" s="2" t="s">
        <v>25</v>
      </c>
      <c r="K48" s="2" t="s">
        <v>26</v>
      </c>
    </row>
    <row r="49" spans="1:11" x14ac:dyDescent="0.25">
      <c r="A49" s="3" t="s">
        <v>139</v>
      </c>
      <c r="B49" s="3" t="s">
        <v>136</v>
      </c>
      <c r="C49" s="3" t="s">
        <v>28</v>
      </c>
      <c r="D49" s="3" t="s">
        <v>54</v>
      </c>
      <c r="E49" s="3" t="s">
        <v>55</v>
      </c>
      <c r="F49" s="3" t="s">
        <v>89</v>
      </c>
      <c r="G49" s="3">
        <v>12</v>
      </c>
      <c r="H49" s="3">
        <v>350</v>
      </c>
      <c r="I49" s="3">
        <v>4200</v>
      </c>
      <c r="J49" s="3" t="s">
        <v>31</v>
      </c>
      <c r="K49" s="3" t="s">
        <v>18</v>
      </c>
    </row>
    <row r="50" spans="1:11" x14ac:dyDescent="0.25">
      <c r="A50" s="2" t="s">
        <v>140</v>
      </c>
      <c r="B50" s="2" t="s">
        <v>141</v>
      </c>
      <c r="C50" s="2" t="s">
        <v>122</v>
      </c>
      <c r="D50" s="2" t="s">
        <v>22</v>
      </c>
      <c r="E50" s="2" t="s">
        <v>67</v>
      </c>
      <c r="F50" s="2" t="s">
        <v>16</v>
      </c>
      <c r="G50" s="2">
        <v>3</v>
      </c>
      <c r="H50" s="2">
        <v>1800</v>
      </c>
      <c r="I50" s="2">
        <v>5400</v>
      </c>
      <c r="J50" s="2" t="s">
        <v>25</v>
      </c>
      <c r="K50" s="2" t="s">
        <v>18</v>
      </c>
    </row>
    <row r="51" spans="1:11" x14ac:dyDescent="0.25">
      <c r="A51" s="3" t="s">
        <v>142</v>
      </c>
      <c r="B51" s="3" t="s">
        <v>141</v>
      </c>
      <c r="C51" s="3" t="s">
        <v>44</v>
      </c>
      <c r="D51" s="3" t="s">
        <v>45</v>
      </c>
      <c r="E51" s="3" t="s">
        <v>75</v>
      </c>
      <c r="F51" s="3" t="s">
        <v>16</v>
      </c>
      <c r="G51" s="3">
        <v>2</v>
      </c>
      <c r="H51" s="3">
        <v>600</v>
      </c>
      <c r="I51" s="3" t="s">
        <v>143</v>
      </c>
      <c r="J51" s="3" t="s">
        <v>44</v>
      </c>
      <c r="K51" s="3" t="s">
        <v>18</v>
      </c>
    </row>
    <row r="52" spans="1:11" x14ac:dyDescent="0.25">
      <c r="A52" s="2" t="s">
        <v>144</v>
      </c>
      <c r="B52" s="2" t="s">
        <v>145</v>
      </c>
      <c r="C52" s="2" t="s">
        <v>66</v>
      </c>
      <c r="D52" s="2" t="s">
        <v>29</v>
      </c>
      <c r="E52" s="2" t="s">
        <v>41</v>
      </c>
      <c r="F52" s="2" t="s">
        <v>16</v>
      </c>
      <c r="G52" s="2">
        <v>1</v>
      </c>
      <c r="H52" s="2">
        <v>1200</v>
      </c>
      <c r="I52" s="2">
        <v>1200</v>
      </c>
      <c r="J52" s="2" t="s">
        <v>31</v>
      </c>
      <c r="K5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cols>
    <col min="1" max="1" width="5" customWidth="1"/>
    <col min="2" max="2" width="25" customWidth="1"/>
    <col min="3" max="3" width="48" customWidth="1"/>
    <col min="4" max="4" width="28" customWidth="1"/>
    <col min="5" max="5" width="10" customWidth="1"/>
  </cols>
  <sheetData>
    <row r="1" spans="1:5" ht="24.95" customHeight="1" x14ac:dyDescent="0.25">
      <c r="A1" s="4" t="s">
        <v>146</v>
      </c>
      <c r="B1" s="4" t="s">
        <v>147</v>
      </c>
      <c r="C1" s="4" t="s">
        <v>148</v>
      </c>
      <c r="D1" s="4" t="s">
        <v>149</v>
      </c>
      <c r="E1" s="4" t="s">
        <v>150</v>
      </c>
    </row>
    <row r="2" spans="1:5" ht="35.1" customHeight="1" x14ac:dyDescent="0.25">
      <c r="A2" s="5" t="s">
        <v>151</v>
      </c>
      <c r="B2" s="5" t="s">
        <v>152</v>
      </c>
      <c r="C2" s="5" t="s">
        <v>153</v>
      </c>
      <c r="D2" s="5" t="s">
        <v>154</v>
      </c>
      <c r="E2" s="5"/>
    </row>
    <row r="3" spans="1:5" ht="35.1" customHeight="1" x14ac:dyDescent="0.25">
      <c r="A3" s="6" t="s">
        <v>155</v>
      </c>
      <c r="B3" s="6" t="s">
        <v>156</v>
      </c>
      <c r="C3" s="6" t="s">
        <v>157</v>
      </c>
      <c r="D3" s="6" t="s">
        <v>158</v>
      </c>
      <c r="E3" s="6"/>
    </row>
    <row r="4" spans="1:5" ht="35.1" customHeight="1" x14ac:dyDescent="0.25">
      <c r="A4" s="5" t="s">
        <v>159</v>
      </c>
      <c r="B4" s="5" t="s">
        <v>160</v>
      </c>
      <c r="C4" s="5" t="s">
        <v>161</v>
      </c>
      <c r="D4" s="5" t="s">
        <v>162</v>
      </c>
      <c r="E4" s="5"/>
    </row>
    <row r="5" spans="1:5" ht="35.1" customHeight="1" x14ac:dyDescent="0.25">
      <c r="A5" s="6" t="s">
        <v>163</v>
      </c>
      <c r="B5" s="6" t="s">
        <v>164</v>
      </c>
      <c r="C5" s="6" t="s">
        <v>165</v>
      </c>
      <c r="D5" s="6" t="s">
        <v>162</v>
      </c>
      <c r="E5" s="6"/>
    </row>
    <row r="6" spans="1:5" ht="35.1" customHeight="1" x14ac:dyDescent="0.25">
      <c r="A6" s="5" t="s">
        <v>166</v>
      </c>
      <c r="B6" s="5" t="s">
        <v>167</v>
      </c>
      <c r="C6" s="5" t="s">
        <v>168</v>
      </c>
      <c r="D6" s="5" t="s">
        <v>169</v>
      </c>
      <c r="E6" s="5"/>
    </row>
    <row r="7" spans="1:5" ht="35.1" customHeight="1" x14ac:dyDescent="0.25">
      <c r="A7" s="6" t="s">
        <v>170</v>
      </c>
      <c r="B7" s="6" t="s">
        <v>171</v>
      </c>
      <c r="C7" s="6" t="s">
        <v>172</v>
      </c>
      <c r="D7" s="6"/>
      <c r="E7" s="6"/>
    </row>
    <row r="8" spans="1:5" ht="35.1" customHeight="1" x14ac:dyDescent="0.25">
      <c r="A8" s="5" t="s">
        <v>173</v>
      </c>
      <c r="B8" s="5" t="s">
        <v>174</v>
      </c>
      <c r="C8" s="5" t="s">
        <v>175</v>
      </c>
      <c r="D8" s="5" t="s">
        <v>176</v>
      </c>
      <c r="E8" s="5"/>
    </row>
    <row r="9" spans="1:5" ht="35.1" customHeight="1" x14ac:dyDescent="0.25">
      <c r="A9" s="6" t="s">
        <v>177</v>
      </c>
      <c r="B9" s="6" t="s">
        <v>178</v>
      </c>
      <c r="C9" s="6" t="s">
        <v>179</v>
      </c>
      <c r="D9" s="6" t="s">
        <v>180</v>
      </c>
      <c r="E9" s="6"/>
    </row>
    <row r="10" spans="1:5" ht="35.1" customHeight="1" x14ac:dyDescent="0.25">
      <c r="A10" s="5" t="s">
        <v>181</v>
      </c>
      <c r="B10" s="5" t="s">
        <v>182</v>
      </c>
      <c r="C10" s="5" t="s">
        <v>183</v>
      </c>
      <c r="D10" s="5" t="e">
        <f>Quantity * UnitPrice formula to verify</f>
        <v>#NAME?</v>
      </c>
      <c r="E10" s="5"/>
    </row>
    <row r="11" spans="1:5" ht="35.1" customHeight="1" x14ac:dyDescent="0.25">
      <c r="A11" s="6" t="s">
        <v>184</v>
      </c>
      <c r="B11" s="6" t="s">
        <v>185</v>
      </c>
      <c r="C11" s="6" t="s">
        <v>186</v>
      </c>
      <c r="D11" s="6" t="s">
        <v>187</v>
      </c>
      <c r="E11" s="6"/>
    </row>
    <row r="12" spans="1:5" ht="35.1" customHeight="1" x14ac:dyDescent="0.25">
      <c r="A12" s="5" t="s">
        <v>188</v>
      </c>
      <c r="B12" s="5" t="s">
        <v>189</v>
      </c>
      <c r="C12" s="5" t="s">
        <v>190</v>
      </c>
      <c r="D12" s="5" t="s">
        <v>191</v>
      </c>
      <c r="E12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22" customWidth="1"/>
    <col min="4" max="4" width="15" customWidth="1"/>
    <col min="5" max="5" width="22" customWidth="1"/>
    <col min="6" max="6" width="14" customWidth="1"/>
    <col min="7" max="7" width="10" customWidth="1"/>
    <col min="8" max="8" width="14" customWidth="1"/>
    <col min="9" max="10" width="16" customWidth="1"/>
    <col min="11" max="11" width="12" customWidth="1"/>
    <col min="12" max="12" width="16" customWidth="1"/>
    <col min="13" max="13" width="20" customWidth="1"/>
  </cols>
  <sheetData>
    <row r="1" spans="1:13" ht="30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192</v>
      </c>
      <c r="M1" s="7" t="s">
        <v>193</v>
      </c>
    </row>
    <row r="2" spans="1:13" x14ac:dyDescent="0.25">
      <c r="A2" s="8" t="s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defaultRowHeight="15" x14ac:dyDescent="0.25"/>
  <cols>
    <col min="1" max="1" width="20" customWidth="1"/>
    <col min="2" max="2" width="40" customWidth="1"/>
    <col min="3" max="3" width="25" customWidth="1"/>
    <col min="4" max="4" width="15" customWidth="1"/>
  </cols>
  <sheetData>
    <row r="1" spans="1:4" ht="35.1" customHeight="1" x14ac:dyDescent="0.25">
      <c r="A1" s="9" t="s">
        <v>195</v>
      </c>
      <c r="B1" s="10"/>
      <c r="C1" s="10"/>
      <c r="D1" s="10"/>
    </row>
    <row r="2" spans="1:4" x14ac:dyDescent="0.25">
      <c r="A2" s="11" t="s">
        <v>196</v>
      </c>
      <c r="B2" s="11" t="s">
        <v>197</v>
      </c>
      <c r="C2" s="11" t="s">
        <v>198</v>
      </c>
      <c r="D2" s="11"/>
    </row>
    <row r="3" spans="1:4" x14ac:dyDescent="0.25">
      <c r="A3" s="11"/>
      <c r="B3" s="11"/>
      <c r="C3" s="11"/>
      <c r="D3" s="11"/>
    </row>
    <row r="4" spans="1:4" ht="38.25" x14ac:dyDescent="0.25">
      <c r="A4" s="12" t="s">
        <v>199</v>
      </c>
      <c r="B4" s="12"/>
      <c r="C4" s="12"/>
      <c r="D4" s="12"/>
    </row>
    <row r="5" spans="1:4" x14ac:dyDescent="0.25">
      <c r="A5" s="13" t="s">
        <v>3</v>
      </c>
      <c r="B5" s="13" t="s">
        <v>200</v>
      </c>
      <c r="C5" s="13" t="s">
        <v>201</v>
      </c>
      <c r="D5" s="13" t="s">
        <v>202</v>
      </c>
    </row>
    <row r="6" spans="1:4" x14ac:dyDescent="0.25">
      <c r="A6" s="11" t="s">
        <v>14</v>
      </c>
      <c r="B6" s="11"/>
      <c r="C6" s="11"/>
      <c r="D6" s="11"/>
    </row>
    <row r="7" spans="1:4" x14ac:dyDescent="0.25">
      <c r="A7" s="11" t="s">
        <v>22</v>
      </c>
      <c r="B7" s="11"/>
      <c r="C7" s="11"/>
      <c r="D7" s="11"/>
    </row>
    <row r="8" spans="1:4" x14ac:dyDescent="0.25">
      <c r="A8" s="11" t="s">
        <v>54</v>
      </c>
      <c r="B8" s="11"/>
      <c r="C8" s="11"/>
      <c r="D8" s="11"/>
    </row>
    <row r="9" spans="1:4" x14ac:dyDescent="0.25">
      <c r="A9" s="11" t="s">
        <v>45</v>
      </c>
      <c r="B9" s="11"/>
      <c r="C9" s="11"/>
      <c r="D9" s="11"/>
    </row>
    <row r="10" spans="1:4" x14ac:dyDescent="0.25">
      <c r="A10" s="14" t="s">
        <v>203</v>
      </c>
      <c r="B10" s="14"/>
      <c r="C10" s="14"/>
      <c r="D10" s="14"/>
    </row>
    <row r="11" spans="1:4" x14ac:dyDescent="0.25">
      <c r="A11" s="11"/>
      <c r="B11" s="11"/>
      <c r="C11" s="11"/>
      <c r="D11" s="11"/>
    </row>
    <row r="12" spans="1:4" ht="38.25" x14ac:dyDescent="0.25">
      <c r="A12" s="12" t="s">
        <v>204</v>
      </c>
      <c r="B12" s="12"/>
      <c r="C12" s="12"/>
      <c r="D12" s="12"/>
    </row>
    <row r="13" spans="1:4" x14ac:dyDescent="0.25">
      <c r="A13" s="13" t="s">
        <v>5</v>
      </c>
      <c r="B13" s="13" t="s">
        <v>200</v>
      </c>
      <c r="C13" s="13" t="s">
        <v>201</v>
      </c>
      <c r="D13" s="13" t="s">
        <v>202</v>
      </c>
    </row>
    <row r="14" spans="1:4" x14ac:dyDescent="0.25">
      <c r="A14" s="11" t="s">
        <v>16</v>
      </c>
      <c r="B14" s="11"/>
      <c r="C14" s="11"/>
      <c r="D14" s="11"/>
    </row>
    <row r="15" spans="1:4" x14ac:dyDescent="0.25">
      <c r="A15" s="11" t="s">
        <v>47</v>
      </c>
      <c r="B15" s="11"/>
      <c r="C15" s="11"/>
      <c r="D15" s="11"/>
    </row>
    <row r="16" spans="1:4" x14ac:dyDescent="0.25">
      <c r="A16" s="11" t="s">
        <v>56</v>
      </c>
      <c r="B16" s="11"/>
      <c r="C16" s="11"/>
      <c r="D16" s="11"/>
    </row>
    <row r="17" spans="1:4" x14ac:dyDescent="0.25">
      <c r="A17" s="14" t="s">
        <v>203</v>
      </c>
      <c r="B17" s="14"/>
      <c r="C17" s="14"/>
      <c r="D17" s="14"/>
    </row>
    <row r="18" spans="1:4" x14ac:dyDescent="0.25">
      <c r="A18" s="11"/>
      <c r="B18" s="11"/>
      <c r="C18" s="11"/>
      <c r="D18" s="11"/>
    </row>
    <row r="19" spans="1:4" ht="38.25" x14ac:dyDescent="0.25">
      <c r="A19" s="12" t="s">
        <v>205</v>
      </c>
      <c r="B19" s="12"/>
      <c r="C19" s="12"/>
      <c r="D19" s="12"/>
    </row>
    <row r="20" spans="1:4" x14ac:dyDescent="0.25">
      <c r="A20" s="13" t="s">
        <v>4</v>
      </c>
      <c r="B20" s="13" t="s">
        <v>206</v>
      </c>
      <c r="C20" s="13" t="s">
        <v>201</v>
      </c>
      <c r="D20" s="13"/>
    </row>
    <row r="21" spans="1:4" x14ac:dyDescent="0.25">
      <c r="A21" s="11" t="s">
        <v>207</v>
      </c>
      <c r="B21" s="11"/>
      <c r="C21" s="11"/>
      <c r="D21" s="11"/>
    </row>
    <row r="22" spans="1:4" x14ac:dyDescent="0.25">
      <c r="A22" s="11" t="s">
        <v>208</v>
      </c>
      <c r="B22" s="11"/>
      <c r="C22" s="11"/>
      <c r="D22" s="11"/>
    </row>
    <row r="23" spans="1:4" x14ac:dyDescent="0.25">
      <c r="A23" s="11" t="s">
        <v>209</v>
      </c>
      <c r="B23" s="11"/>
      <c r="C23" s="11"/>
      <c r="D23" s="11"/>
    </row>
    <row r="24" spans="1:4" x14ac:dyDescent="0.25">
      <c r="A24" s="11" t="s">
        <v>210</v>
      </c>
      <c r="B24" s="11"/>
      <c r="C24" s="11"/>
      <c r="D24" s="11"/>
    </row>
    <row r="25" spans="1:4" x14ac:dyDescent="0.25">
      <c r="A25" s="11" t="s">
        <v>211</v>
      </c>
      <c r="B25" s="11"/>
      <c r="C25" s="11"/>
      <c r="D25" s="11"/>
    </row>
    <row r="26" spans="1:4" x14ac:dyDescent="0.25">
      <c r="A26" s="11"/>
      <c r="B26" s="11"/>
      <c r="C26" s="11"/>
      <c r="D26" s="11"/>
    </row>
    <row r="27" spans="1:4" ht="38.25" x14ac:dyDescent="0.25">
      <c r="A27" s="12" t="s">
        <v>212</v>
      </c>
      <c r="B27" s="12"/>
      <c r="C27" s="12"/>
      <c r="D27" s="12"/>
    </row>
    <row r="28" spans="1:4" x14ac:dyDescent="0.25">
      <c r="A28" s="13" t="s">
        <v>0</v>
      </c>
      <c r="B28" s="13" t="s">
        <v>213</v>
      </c>
      <c r="C28" s="13" t="s">
        <v>214</v>
      </c>
      <c r="D28" s="13"/>
    </row>
    <row r="29" spans="1:4" ht="25.5" x14ac:dyDescent="0.25">
      <c r="A29" s="15" t="s">
        <v>57</v>
      </c>
      <c r="B29" s="15" t="s">
        <v>215</v>
      </c>
      <c r="C29" s="15" t="s">
        <v>216</v>
      </c>
      <c r="D29" s="15"/>
    </row>
    <row r="30" spans="1:4" x14ac:dyDescent="0.25">
      <c r="A30" s="15" t="s">
        <v>81</v>
      </c>
      <c r="B30" s="15" t="s">
        <v>217</v>
      </c>
      <c r="C30" s="15" t="s">
        <v>218</v>
      </c>
      <c r="D30" s="15"/>
    </row>
    <row r="31" spans="1:4" x14ac:dyDescent="0.25">
      <c r="A31" s="15" t="s">
        <v>104</v>
      </c>
      <c r="B31" s="15" t="s">
        <v>219</v>
      </c>
      <c r="C31" s="15" t="s">
        <v>220</v>
      </c>
      <c r="D31" s="15"/>
    </row>
    <row r="32" spans="1:4" x14ac:dyDescent="0.25">
      <c r="A32" s="15" t="s">
        <v>123</v>
      </c>
      <c r="B32" s="15" t="s">
        <v>221</v>
      </c>
      <c r="C32" s="15" t="s">
        <v>218</v>
      </c>
      <c r="D32" s="15"/>
    </row>
    <row r="33" spans="1:4" ht="25.5" x14ac:dyDescent="0.25">
      <c r="A33" s="15" t="s">
        <v>130</v>
      </c>
      <c r="B33" s="15" t="s">
        <v>222</v>
      </c>
      <c r="C33" s="15" t="s">
        <v>216</v>
      </c>
      <c r="D33" s="15"/>
    </row>
    <row r="34" spans="1:4" x14ac:dyDescent="0.25">
      <c r="A34" s="15" t="s">
        <v>142</v>
      </c>
      <c r="B34" s="15" t="s">
        <v>223</v>
      </c>
      <c r="C34" s="15" t="s">
        <v>220</v>
      </c>
      <c r="D34" s="15"/>
    </row>
    <row r="35" spans="1:4" ht="25.5" x14ac:dyDescent="0.25">
      <c r="A35" s="15" t="s">
        <v>224</v>
      </c>
      <c r="B35" s="15" t="s">
        <v>225</v>
      </c>
      <c r="C35" s="15" t="s">
        <v>226</v>
      </c>
      <c r="D35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- DO NOT EDIT</vt:lpstr>
      <vt:lpstr>Cleaning Checklist</vt:lpstr>
      <vt:lpstr>CLEANED DATA</vt:lpstr>
      <vt:lpstr>REPORT - Manager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Anotida Tyris  Kanzara</cp:lastModifiedBy>
  <dcterms:created xsi:type="dcterms:W3CDTF">2026-05-12T12:52:39Z</dcterms:created>
  <dcterms:modified xsi:type="dcterms:W3CDTF">2026-05-12T12:56:57Z</dcterms:modified>
</cp:coreProperties>
</file>