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YPC\Documents\Excel Projects\"/>
    </mc:Choice>
  </mc:AlternateContent>
  <xr:revisionPtr revIDLastSave="0" documentId="8_{4EE968D7-37BB-4674-AF84-F55F970E3248}" xr6:coauthVersionLast="47" xr6:coauthVersionMax="47" xr10:uidLastSave="{00000000-0000-0000-0000-000000000000}"/>
  <bookViews>
    <workbookView xWindow="-120" yWindow="-120" windowWidth="20730" windowHeight="11160" firstSheet="1" activeTab="3" xr2:uid="{636F3B49-3DF2-4FEF-94E3-AFF59716DF5F}"/>
  </bookViews>
  <sheets>
    <sheet name="Products Table" sheetId="1" r:id="rId1"/>
    <sheet name="Employee Table" sheetId="2" r:id="rId2"/>
    <sheet name="Raw Transactions" sheetId="3" r:id="rId3"/>
    <sheet name="Report" sheetId="5" r:id="rId4"/>
  </sheet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16" i="3"/>
  <c r="J14" i="3"/>
  <c r="J15" i="3"/>
  <c r="J13" i="3"/>
  <c r="J12" i="3"/>
  <c r="J10" i="3"/>
  <c r="J9" i="3"/>
  <c r="J11" i="3"/>
  <c r="J8" i="3"/>
  <c r="J6" i="3"/>
  <c r="J5" i="3"/>
  <c r="J3" i="3"/>
  <c r="J4" i="3"/>
  <c r="J7" i="3"/>
  <c r="J2" i="3"/>
  <c r="I16" i="3"/>
  <c r="I14" i="3"/>
  <c r="I15" i="3"/>
  <c r="I13" i="3"/>
  <c r="I10" i="3"/>
  <c r="I9" i="3"/>
  <c r="I11" i="3"/>
  <c r="I12" i="3"/>
  <c r="I8" i="3"/>
  <c r="I6" i="3"/>
  <c r="I5" i="3"/>
  <c r="I3" i="3"/>
  <c r="I4" i="3"/>
  <c r="I7" i="3"/>
  <c r="I2" i="3"/>
  <c r="H13" i="3"/>
  <c r="H14" i="3"/>
  <c r="H15" i="3"/>
  <c r="H16" i="3"/>
  <c r="H12" i="3"/>
  <c r="H9" i="3"/>
  <c r="H8" i="3"/>
  <c r="H10" i="3"/>
  <c r="H11" i="3"/>
  <c r="H7" i="3"/>
  <c r="H3" i="3"/>
  <c r="H4" i="3"/>
  <c r="H5" i="3"/>
  <c r="H6" i="3"/>
  <c r="H2" i="3"/>
  <c r="F2" i="3"/>
  <c r="G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</calcChain>
</file>

<file path=xl/sharedStrings.xml><?xml version="1.0" encoding="utf-8"?>
<sst xmlns="http://schemas.openxmlformats.org/spreadsheetml/2006/main" count="131" uniqueCount="71">
  <si>
    <t>Product ID</t>
  </si>
  <si>
    <t>Product Name</t>
  </si>
  <si>
    <t>Category</t>
  </si>
  <si>
    <t>Unit Price (R)</t>
  </si>
  <si>
    <t>PR01</t>
  </si>
  <si>
    <t>PR02</t>
  </si>
  <si>
    <t>PR03</t>
  </si>
  <si>
    <t>PR04</t>
  </si>
  <si>
    <t>PR05</t>
  </si>
  <si>
    <t>PR06</t>
  </si>
  <si>
    <t>PR07</t>
  </si>
  <si>
    <t>PR08</t>
  </si>
  <si>
    <t>Gaming Laptop</t>
  </si>
  <si>
    <t>Office Chair</t>
  </si>
  <si>
    <t>Wireless Headset</t>
  </si>
  <si>
    <t>Standing Desk</t>
  </si>
  <si>
    <t>Webcam HD</t>
  </si>
  <si>
    <t>Notebook Bundle</t>
  </si>
  <si>
    <t>Mechanical Keyboard</t>
  </si>
  <si>
    <t>Whiteboard</t>
  </si>
  <si>
    <t>Electronics</t>
  </si>
  <si>
    <t>Furniture</t>
  </si>
  <si>
    <t>Stationery</t>
  </si>
  <si>
    <t>Employee ID</t>
  </si>
  <si>
    <t xml:space="preserve">Rep Name </t>
  </si>
  <si>
    <t>Region</t>
  </si>
  <si>
    <t>EM01</t>
  </si>
  <si>
    <t>EM02</t>
  </si>
  <si>
    <t>EM03</t>
  </si>
  <si>
    <t>EM04</t>
  </si>
  <si>
    <t>EM05</t>
  </si>
  <si>
    <t>EM06</t>
  </si>
  <si>
    <t>Thabo Nkosi</t>
  </si>
  <si>
    <t>Priya Pillay</t>
  </si>
  <si>
    <t>Zanele Dlamini</t>
  </si>
  <si>
    <t>Riaan Botha</t>
  </si>
  <si>
    <t>Amahle Zulu</t>
  </si>
  <si>
    <t>Lebo Mahlangu</t>
  </si>
  <si>
    <t>Gauteng</t>
  </si>
  <si>
    <t>KZN</t>
  </si>
  <si>
    <t xml:space="preserve">Western Cape </t>
  </si>
  <si>
    <t>Limpopo</t>
  </si>
  <si>
    <t>Txn ID</t>
  </si>
  <si>
    <t>Date</t>
  </si>
  <si>
    <t>ProductID</t>
  </si>
  <si>
    <t>EmployeeID</t>
  </si>
  <si>
    <t>Qty</t>
  </si>
  <si>
    <t>Rep Name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</si>
  <si>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</si>
  <si>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</si>
  <si>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</si>
  <si>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</si>
  <si>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</si>
  <si>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</si>
  <si>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</si>
  <si>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</si>
  <si>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</si>
  <si>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</si>
  <si>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</si>
  <si>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</si>
  <si>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</si>
  <si>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</si>
  <si>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</si>
  <si>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Sum</t>
  </si>
  <si>
    <t>Average</t>
  </si>
  <si>
    <t>Running Total</t>
  </si>
  <si>
    <t>Count</t>
  </si>
  <si>
    <t>Row Labels</t>
  </si>
  <si>
    <t>Grand Total</t>
  </si>
  <si>
    <t>Total Revenue (R)</t>
  </si>
  <si>
    <t>Sum of Total Revenue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</si>
</sst>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R-1C09]* #,##0.00_-;\-[$R-1C09]* #,##0.00_-;_-[$R-1C09]* &quot;-&quot;??_-;_-@_-"/>
    <numFmt numFmtId="166" formatCode="_-[$R-430]* #,##0.00_-;\-[$R-430]* #,##0.00_-;_-[$R-430]* &quot;-&quot;??_-;_-@_-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9"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5" formatCode="_-[$R-1C09]* #,##0.00_-;\-[$R-1C09]* #,##0.00_-;_-[$R-1C09]* &quot;-&quot;??_-;_-@_-"/>
    </dxf>
    <dxf>
      <numFmt numFmtId="165" formatCode="_-[$R-1C09]* #,##0.00_-;\-[$R-1C09]* #,##0.00_-;_-[$R-1C09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6" formatCode="_-[$R-430]* #,##0.00_-;\-[$R-430]* #,##0.00_-;_-[$R-430]* &quot;-&quot;??_-;_-@_-"/>
    </dxf>
    <dxf>
      <numFmt numFmtId="165" formatCode="_-[$R-1C09]* #,##0.00_-;\-[$R-1C09]* #,##0.00_-;_-[$R-1C09]* &quot;-&quot;??_-;_-@_-"/>
    </dxf>
    <dxf>
      <numFmt numFmtId="166" formatCode="_-[$R-430]* #,##0.00_-;\-[$R-430]* #,##0.00_-;_-[$R-430]* &quot;-&quot;??_-;_-@_-"/>
    </dxf>
    <dxf>
      <numFmt numFmtId="165" formatCode="_-[$R-1C09]* #,##0.00_-;\-[$R-1C09]* #,##0.00_-;_-[$R-1C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3.xlsx]Report!PivotTable3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Report!$A$4:$A$8</c:f>
              <c:strCache>
                <c:ptCount val="4"/>
                <c:pt idx="0">
                  <c:v>Western Cape </c:v>
                </c:pt>
                <c:pt idx="1">
                  <c:v>Gauteng</c:v>
                </c:pt>
                <c:pt idx="2">
                  <c:v>KZN</c:v>
                </c:pt>
                <c:pt idx="3">
                  <c:v>Limpopo</c:v>
                </c:pt>
              </c:strCache>
            </c:strRef>
          </c:cat>
          <c:val>
            <c:numRef>
              <c:f>Report!$B$4:$B$8</c:f>
              <c:numCache>
                <c:formatCode>_-[$R-1C09]* #,##0.00_-;\-[$R-1C09]* #,##0.00_-;_-[$R-1C09]* "-"??_-;_-@_-</c:formatCode>
                <c:ptCount val="4"/>
                <c:pt idx="0">
                  <c:v>50250</c:v>
                </c:pt>
                <c:pt idx="1">
                  <c:v>41800</c:v>
                </c:pt>
                <c:pt idx="2">
                  <c:v>24060</c:v>
                </c:pt>
                <c:pt idx="3">
                  <c:v>17200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C-47A0-9152-AAE82DC8D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45522960"/>
        <c:axId val="1845523920"/>
      </c:barChart>
      <c:catAx>
        <c:axId val="184552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523920"/>
        <c:crosses val="autoZero"/>
        <c:auto val="1"/>
        <c:lblAlgn val="ctr"/>
        <c:lblOffset val="100"/>
        <c:noMultiLvlLbl val="0"/>
      </c:catAx>
      <c:valAx>
        <c:axId val="184552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522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3.xlsx]Report!PivotTable4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Report!$F$3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Report!$E$4:$E$7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Report!$F$4:$F$7</c:f>
              <c:numCache>
                <c:formatCode>_-[$R-430]* #,##0.00_-;\-[$R-430]* #,##0.00_-;_-[$R-430]* "-"??_-;_-@_-</c:formatCode>
                <c:ptCount val="3"/>
                <c:pt idx="0">
                  <c:v>98100</c:v>
                </c:pt>
                <c:pt idx="1">
                  <c:v>22900</c:v>
                </c:pt>
                <c:pt idx="2">
                  <c:v>12310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B-4789-8D81-65B24A5D65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3.xlsx]Report!PivotTable5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Report!$K$3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Report!$J$4:$J$10</c:f>
              <c:strCache>
                <c:ptCount val="6"/>
                <c:pt idx="0">
                  <c:v>Zanele Dlamini</c:v>
                </c:pt>
                <c:pt idx="1">
                  <c:v>Thabo Nkosi</c:v>
                </c:pt>
                <c:pt idx="2">
                  <c:v>Riaan Botha</c:v>
                </c:pt>
                <c:pt idx="3">
                  <c:v>Priya Pillay</c:v>
                </c:pt>
                <c:pt idx="4">
                  <c:v>Lebo Mahlangu</c:v>
                </c:pt>
                <c:pt idx="5">
                  <c:v>Amahle Zulu</c:v>
                </c:pt>
              </c:strCache>
            </c:strRef>
          </c:cat>
          <c:val>
            <c:numRef>
              <c:f>Report!$K$4:$K$10</c:f>
              <c:numCache>
                <c:formatCode>_-[$R-1C09]* #,##0.00_-;\-[$R-1C09]* #,##0.00_-;_-[$R-1C09]* "-"??_-;_-@_-</c:formatCode>
                <c:ptCount val="6"/>
                <c:pt idx="0">
                  <c:v>50250</c:v>
                </c:pt>
                <c:pt idx="1">
                  <c:v>20500</c:v>
                </c:pt>
                <c:pt idx="2">
                  <c:v>21300</c:v>
                </c:pt>
                <c:pt idx="3">
                  <c:v>12660</c:v>
                </c:pt>
                <c:pt idx="4">
                  <c:v>17200</c:v>
                </c:pt>
                <c:pt idx="5">
                  <c:v>11400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9-4BE8-9DB2-8533AE8A3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196336"/>
        <c:axId val="75205936"/>
        <c:axId val="0"/>
      </c:bar3DChart>
      <c:catAx>
        <c:axId val="7519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5936"/>
        <c:crosses val="autoZero"/>
        <c:auto val="1"/>
        <c:lblAlgn val="ctr"/>
        <c:lblOffset val="100"/>
        <c:noMultiLvlLbl val="0"/>
      </c:catAx>
      <c:valAx>
        <c:axId val="7520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6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14287</xdr:rowOff>
    </xdr:from>
    <xdr:to>
      <xdr:col>5</xdr:col>
      <xdr:colOff>266700</xdr:colOff>
      <xdr:row>26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2BCED-A1FE-6A8D-529D-5BEE7221E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423862</xdr:colOff>
      <xdr:row>11</xdr:row>
      <xdr:rowOff>166687</xdr:rowOff>
    </xdr:from>
    <xdr:to>
      <xdr:col>10</xdr:col>
      <xdr:colOff>914400</xdr:colOff>
      <xdr:row>26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0DDB45-0F13-0FB9-FEEC-CA8312FCD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976311</xdr:colOff>
      <xdr:row>27</xdr:row>
      <xdr:rowOff>109537</xdr:rowOff>
    </xdr:from>
    <xdr:to>
      <xdr:col>8</xdr:col>
      <xdr:colOff>66675</xdr:colOff>
      <xdr:row>47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33DC6-4701-6603-5A3C-B6AD0329C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PC" refreshedDate="46147.707949537034" createdVersion="8" refreshedVersion="8" minRefreshableVersion="3" recordCount="15" xr:uid="{EEE53D1F-A819-4E71-9B8C-B9147681FDC4}">
  <cacheSource type="worksheet">
    <worksheetSource ref="A1:K16" sheet="Raw Transactions"/>
  </cacheSource>
  <cacheFields count="11">
    <cacheField name="Txn ID" numFmtId="0">
      <sharedItems/>
    </cacheField>
    <cacheField name="Date" numFmtId="14">
      <sharedItems containsSemiMixedTypes="0" containsNonDate="0" containsDate="1" containsString="0" minDate="2026-04-01T00:00:00" maxDate="2026-04-11T00:00:00"/>
    </cacheField>
    <cacheField name="EmployeeID" numFmtId="0">
      <sharedItems/>
    </cacheField>
    <cacheField name="ProductID" numFmtId="0">
      <sharedItems/>
    </cacheField>
    <cacheField name="Qty" numFmtId="0">
      <sharedItems containsSemiMixedTypes="0" containsString="0" containsNumber="1" containsInteger="1" minValue="1" maxValue="15"/>
    </cacheField>
    <cacheField name="Product Name" numFmtId="0">
      <sharedItems count="8">
        <s v="Gaming Laptop"/>
        <s v="Notebook Bundle"/>
        <s v="Wireless Headset"/>
        <s v="Standing Desk"/>
        <s v="Mechanical Keyboard"/>
        <s v="Office Chair"/>
        <s v="Webcam HD"/>
        <s v="Whiteboard"/>
      </sharedItems>
    </cacheField>
    <cacheField name="Category" numFmtId="0">
      <sharedItems count="3">
        <s v="Electronics"/>
        <s v="Stationery"/>
        <s v="Furniture"/>
      </sharedItems>
    </cacheField>
    <cacheField name="Unit Price (R)" numFmtId="0">
      <sharedItems containsSemiMixedTypes="0" containsString="0" containsNumber="1" containsInteger="1" minValue="350" maxValue="15000"/>
    </cacheField>
    <cacheField name="Rep Name" numFmtId="0">
      <sharedItems count="6">
        <s v="Zanele Dlamini"/>
        <s v="Thabo Nkosi"/>
        <s v="Amahle Zulu"/>
        <s v="Priya Pillay"/>
        <s v="Riaan Botha"/>
        <s v="Lebo Mahlangu"/>
      </sharedItems>
    </cacheField>
    <cacheField name="Region" numFmtId="0">
      <sharedItems count="4">
        <s v="Western Cape "/>
        <s v="Gauteng"/>
        <s v="KZN"/>
        <s v="Limpopo"/>
      </sharedItems>
    </cacheField>
    <cacheField name="Total Revenue (R)" numFmtId="0">
      <sharedItems containsSemiMixedTypes="0" containsString="0" containsNumber="1" containsInteger="1" minValue="3500" maxValue="30000" count="14">
        <n v="30000"/>
        <n v="3500"/>
        <n v="7200"/>
        <n v="5500"/>
        <n v="6300"/>
        <n v="6400"/>
        <n v="6000"/>
        <n v="15000"/>
        <n v="3560"/>
        <n v="4200"/>
        <n v="10800"/>
        <n v="11000"/>
        <n v="5250"/>
        <n v="3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T001"/>
    <d v="2026-04-01T00:00:00"/>
    <s v="EM03"/>
    <s v="PR01"/>
    <n v="2"/>
    <x v="0"/>
    <x v="0"/>
    <n v="15000"/>
    <x v="0"/>
    <x v="0"/>
    <x v="0"/>
  </r>
  <r>
    <s v="T002"/>
    <d v="2026-04-01T00:00:00"/>
    <s v="EM01"/>
    <s v="PR06"/>
    <n v="10"/>
    <x v="1"/>
    <x v="1"/>
    <n v="350"/>
    <x v="1"/>
    <x v="1"/>
    <x v="1"/>
  </r>
  <r>
    <s v="T003"/>
    <d v="2026-04-02T00:00:00"/>
    <s v="EM05"/>
    <s v="PR03"/>
    <n v="4"/>
    <x v="2"/>
    <x v="0"/>
    <n v="1800"/>
    <x v="2"/>
    <x v="2"/>
    <x v="2"/>
  </r>
  <r>
    <s v="T004"/>
    <d v="2026-04-02T00:00:00"/>
    <s v="EM02"/>
    <s v="PR04"/>
    <n v="1"/>
    <x v="3"/>
    <x v="2"/>
    <n v="5500"/>
    <x v="3"/>
    <x v="2"/>
    <x v="3"/>
  </r>
  <r>
    <s v="T005"/>
    <d v="2026-04-03T00:00:00"/>
    <s v="EM04"/>
    <s v="PR07"/>
    <n v="3"/>
    <x v="4"/>
    <x v="0"/>
    <n v="2100"/>
    <x v="4"/>
    <x v="1"/>
    <x v="4"/>
  </r>
  <r>
    <s v="T006"/>
    <d v="2026-04-03T00:00:00"/>
    <s v="EM06"/>
    <s v="PR02"/>
    <n v="2"/>
    <x v="5"/>
    <x v="2"/>
    <n v="3200"/>
    <x v="5"/>
    <x v="3"/>
    <x v="5"/>
  </r>
  <r>
    <s v="T007"/>
    <d v="2026-04-04T00:00:00"/>
    <s v="EM01"/>
    <s v="PR05"/>
    <n v="5"/>
    <x v="6"/>
    <x v="0"/>
    <n v="1200"/>
    <x v="1"/>
    <x v="1"/>
    <x v="6"/>
  </r>
  <r>
    <s v="T008"/>
    <d v="2026-04-04T00:00:00"/>
    <s v="EM03"/>
    <s v="PR01"/>
    <n v="1"/>
    <x v="0"/>
    <x v="0"/>
    <n v="15000"/>
    <x v="0"/>
    <x v="0"/>
    <x v="7"/>
  </r>
  <r>
    <s v="T009"/>
    <d v="2026-04-07T00:00:00"/>
    <s v="EM02"/>
    <s v="PR08"/>
    <n v="4"/>
    <x v="7"/>
    <x v="1"/>
    <n v="890"/>
    <x v="3"/>
    <x v="2"/>
    <x v="8"/>
  </r>
  <r>
    <s v="T010"/>
    <d v="2026-04-07T00:00:00"/>
    <s v="EM05"/>
    <s v="PR07"/>
    <n v="2"/>
    <x v="4"/>
    <x v="0"/>
    <n v="2100"/>
    <x v="2"/>
    <x v="2"/>
    <x v="9"/>
  </r>
  <r>
    <s v="T011"/>
    <d v="2026-04-08T00:00:00"/>
    <s v="EM06"/>
    <s v="PR03"/>
    <n v="6"/>
    <x v="2"/>
    <x v="0"/>
    <n v="1800"/>
    <x v="5"/>
    <x v="3"/>
    <x v="10"/>
  </r>
  <r>
    <s v="T012"/>
    <d v="2026-04-08T00:00:00"/>
    <s v="EM04"/>
    <s v="PR01"/>
    <n v="1"/>
    <x v="0"/>
    <x v="0"/>
    <n v="15000"/>
    <x v="4"/>
    <x v="1"/>
    <x v="7"/>
  </r>
  <r>
    <s v="T013"/>
    <d v="2026-04-09T00:00:00"/>
    <s v="EM01"/>
    <s v="PR04"/>
    <n v="2"/>
    <x v="3"/>
    <x v="2"/>
    <n v="5500"/>
    <x v="1"/>
    <x v="1"/>
    <x v="11"/>
  </r>
  <r>
    <s v="T014"/>
    <d v="2026-04-09T00:00:00"/>
    <s v="EM03"/>
    <s v="PR06"/>
    <n v="15"/>
    <x v="1"/>
    <x v="1"/>
    <n v="350"/>
    <x v="0"/>
    <x v="0"/>
    <x v="12"/>
  </r>
  <r>
    <s v="T015"/>
    <d v="2026-04-10T00:00:00"/>
    <s v="EM02"/>
    <s v="PR05"/>
    <n v="3"/>
    <x v="6"/>
    <x v="0"/>
    <n v="1200"/>
    <x v="3"/>
    <x v="2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23271-A6D4-40E7-8104-0BF0D124EDE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3:K10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1"/>
        <item x="4"/>
        <item x="3"/>
        <item x="5"/>
        <item x="2"/>
        <item t="default"/>
      </items>
    </pivotField>
    <pivotField showAll="0"/>
    <pivotField dataField="1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Revenue (R)" fld="10" baseField="0" baseItem="0" numFmtId="165"/>
  </dataFields>
  <formats count="1">
    <format dxfId="16">
      <pivotArea outline="0" collapsedLevelsAreSubtotals="1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8E41C-A476-4F19-BD6C-7C329D98C7BB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3:F7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 sortType="descending">
      <items count="9">
        <item x="0"/>
        <item x="4"/>
        <item x="1"/>
        <item x="5"/>
        <item x="3"/>
        <item x="6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sd="0" x="0"/>
        <item sd="0" x="2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2">
    <field x="6"/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 (R)" fld="10" baseField="0" baseItem="0" numFmtId="166"/>
  </dataFields>
  <formats count="1">
    <format dxfId="17">
      <pivotArea outline="0" collapsedLevelsAreSubtotals="1" fieldPosition="0"/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48653-7C7A-4F95-AFA6-75BCBABD28C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5">
        <item x="1"/>
        <item x="8"/>
        <item x="13"/>
        <item x="9"/>
        <item x="12"/>
        <item x="3"/>
        <item x="6"/>
        <item x="4"/>
        <item x="5"/>
        <item x="2"/>
        <item x="10"/>
        <item x="11"/>
        <item x="7"/>
        <item x="0"/>
        <item t="default"/>
      </items>
    </pivotField>
  </pivotFields>
  <rowFields count="1">
    <field x="9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Total Revenue (R)" fld="10" baseField="0" baseItem="0" numFmtId="165"/>
  </dataFields>
  <formats count="1">
    <format dxfId="18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750C-9E9C-4897-9B4F-ACDB09EAC7BA}">
  <dimension ref="A1:D9"/>
  <sheetViews>
    <sheetView workbookViewId="0">
      <selection activeCell="D9" sqref="D9"/>
    </sheetView>
  </sheetViews>
  <sheetFormatPr defaultRowHeight="15" x14ac:dyDescent="0.25"/>
  <cols>
    <col min="1" max="1" width="10.140625" bestFit="1" customWidth="1"/>
    <col min="2" max="2" width="20.28515625" bestFit="1" customWidth="1"/>
    <col min="3" max="3" width="10.7109375" bestFit="1" customWidth="1"/>
    <col min="4" max="4" width="1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12</v>
      </c>
      <c r="C2" t="s">
        <v>20</v>
      </c>
      <c r="D2">
        <v>15000</v>
      </c>
    </row>
    <row r="3" spans="1:4" x14ac:dyDescent="0.25">
      <c r="A3" t="s">
        <v>5</v>
      </c>
      <c r="B3" t="s">
        <v>13</v>
      </c>
      <c r="C3" t="s">
        <v>21</v>
      </c>
      <c r="D3">
        <v>3200</v>
      </c>
    </row>
    <row r="4" spans="1:4" x14ac:dyDescent="0.25">
      <c r="A4" t="s">
        <v>6</v>
      </c>
      <c r="B4" t="s">
        <v>14</v>
      </c>
      <c r="C4" t="s">
        <v>20</v>
      </c>
      <c r="D4">
        <v>1800</v>
      </c>
    </row>
    <row r="5" spans="1:4" x14ac:dyDescent="0.25">
      <c r="A5" t="s">
        <v>7</v>
      </c>
      <c r="B5" t="s">
        <v>15</v>
      </c>
      <c r="C5" t="s">
        <v>21</v>
      </c>
      <c r="D5">
        <v>5500</v>
      </c>
    </row>
    <row r="6" spans="1:4" x14ac:dyDescent="0.25">
      <c r="A6" t="s">
        <v>8</v>
      </c>
      <c r="B6" t="s">
        <v>16</v>
      </c>
      <c r="C6" t="s">
        <v>20</v>
      </c>
      <c r="D6">
        <v>1200</v>
      </c>
    </row>
    <row r="7" spans="1:4" x14ac:dyDescent="0.25">
      <c r="A7" t="s">
        <v>9</v>
      </c>
      <c r="B7" t="s">
        <v>17</v>
      </c>
      <c r="C7" t="s">
        <v>22</v>
      </c>
      <c r="D7">
        <v>350</v>
      </c>
    </row>
    <row r="8" spans="1:4" x14ac:dyDescent="0.25">
      <c r="A8" t="s">
        <v>10</v>
      </c>
      <c r="B8" t="s">
        <v>18</v>
      </c>
      <c r="C8" t="s">
        <v>20</v>
      </c>
      <c r="D8">
        <v>2100</v>
      </c>
    </row>
    <row r="9" spans="1:4" x14ac:dyDescent="0.25">
      <c r="A9" t="s">
        <v>11</v>
      </c>
      <c r="B9" t="s">
        <v>19</v>
      </c>
      <c r="C9" t="s">
        <v>22</v>
      </c>
      <c r="D9">
        <v>890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D5B5-348D-4082-91BC-49F8895BD2A0}">
  <dimension ref="A1:C7"/>
  <sheetViews>
    <sheetView workbookViewId="0">
      <selection activeCell="D6" sqref="D6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3.5703125" bestFit="1" customWidth="1"/>
  </cols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26</v>
      </c>
      <c r="B2" t="s">
        <v>32</v>
      </c>
      <c r="C2" t="s">
        <v>38</v>
      </c>
    </row>
    <row r="3" spans="1:3" x14ac:dyDescent="0.25">
      <c r="A3" t="s">
        <v>27</v>
      </c>
      <c r="B3" t="s">
        <v>33</v>
      </c>
      <c r="C3" t="s">
        <v>39</v>
      </c>
    </row>
    <row r="4" spans="1:3" x14ac:dyDescent="0.25">
      <c r="A4" t="s">
        <v>28</v>
      </c>
      <c r="B4" t="s">
        <v>34</v>
      </c>
      <c r="C4" t="s">
        <v>40</v>
      </c>
    </row>
    <row r="5" spans="1:3" x14ac:dyDescent="0.25">
      <c r="A5" t="s">
        <v>29</v>
      </c>
      <c r="B5" t="s">
        <v>35</v>
      </c>
      <c r="C5" t="s">
        <v>38</v>
      </c>
    </row>
    <row r="6" spans="1:3" x14ac:dyDescent="0.25">
      <c r="A6" t="s">
        <v>30</v>
      </c>
      <c r="B6" t="s">
        <v>36</v>
      </c>
      <c r="C6" t="s">
        <v>39</v>
      </c>
    </row>
    <row r="7" spans="1:3" x14ac:dyDescent="0.25">
      <c r="A7" t="s">
        <v>31</v>
      </c>
      <c r="B7" t="s">
        <v>37</v>
      </c>
      <c r="C7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EBD8-A210-44F8-980D-3BA7E841335A}">
  <dimension ref="A1:K16"/>
  <sheetViews>
    <sheetView workbookViewId="0">
      <selection sqref="A1:K16"/>
    </sheetView>
  </sheetViews>
  <sheetFormatPr defaultRowHeight="15" x14ac:dyDescent="0.25"/>
  <cols>
    <col min="2" max="2" width="9.42578125" bestFit="1" customWidth="1"/>
    <col min="3" max="3" width="11.28515625" bestFit="1" customWidth="1"/>
    <col min="4" max="4" width="9.7109375" bestFit="1" customWidth="1"/>
    <col min="6" max="6" width="20.28515625" bestFit="1" customWidth="1"/>
    <col min="7" max="7" width="10.7109375" bestFit="1" customWidth="1"/>
    <col min="8" max="8" width="12.42578125" bestFit="1" customWidth="1"/>
    <col min="9" max="9" width="14.5703125" bestFit="1" customWidth="1"/>
    <col min="10" max="10" width="13.5703125" bestFit="1" customWidth="1"/>
    <col min="11" max="11" width="16.28515625" bestFit="1" customWidth="1"/>
  </cols>
  <sheetData>
    <row r="1" spans="1:11" x14ac:dyDescent="0.25">
      <c r="A1" t="s">
        <v>42</v>
      </c>
      <c r="B1" t="s">
        <v>43</v>
      </c>
      <c r="C1" t="s">
        <v>45</v>
      </c>
      <c r="D1" t="s">
        <v>44</v>
      </c>
      <c r="E1" t="s">
        <v>46</v>
      </c>
      <c r="F1" t="s">
        <v>1</v>
      </c>
      <c r="G1" t="s">
        <v>2</v>
      </c>
      <c r="H1" t="s">
        <v>3</v>
      </c>
      <c r="I1" t="s">
        <v>47</v>
      </c>
      <c r="J1" t="s">
        <v>25</v>
      </c>
      <c r="K1" t="s">
        <v>69</v>
      </c>
    </row>
    <row r="2" spans="1:11" x14ac:dyDescent="0.25">
      <c r="A2" t="s">
        <v>48</v>
      </c>
      <c r="B2" s="1">
        <v>46113</v>
      </c>
      <c r="C2" t="s">
        <v>28</v>
      </c>
      <c r="D2" t="s">
        <v>4</v>
      </c>
      <c r="E2">
        <v>2</v>
      </c>
      <c r="F2" t="str">
        <f>_xlfn.XLOOKUP(D2,'Products Table'!A2:A9,'Products Table'!B2:B9)</f>
        <v>Gaming Laptop</v>
      </c>
      <c r="G2" t="str">
        <f>_xlfn.XLOOKUP(D2,'Products Table'!A2:A9,'Products Table'!C2:C9)</f>
        <v>Electronics</v>
      </c>
      <c r="H2">
        <f>_xlfn.XLOOKUP(F2,'Products Table'!B2:B9,'Products Table'!D2:D9)</f>
        <v>15000</v>
      </c>
      <c r="I2" t="str">
        <f>_xlfn.XLOOKUP(C2,'Employee Table'!A2:A7,'Employee Table'!B2:B7)</f>
        <v>Zanele Dlamini</v>
      </c>
      <c r="J2" t="str">
        <f>_xlfn.XLOOKUP(I2,'Employee Table'!B2:B7,'Employee Table'!C2:C7)</f>
        <v xml:space="preserve">Western Cape </v>
      </c>
      <c r="K2">
        <f>H2*E2</f>
        <v>30000</v>
      </c>
    </row>
    <row r="3" spans="1:11" x14ac:dyDescent="0.25">
      <c r="A3" t="s">
        <v>49</v>
      </c>
      <c r="B3" s="1">
        <v>46113</v>
      </c>
      <c r="C3" t="s">
        <v>26</v>
      </c>
      <c r="D3" t="s">
        <v>9</v>
      </c>
      <c r="E3">
        <v>10</v>
      </c>
      <c r="F3" t="str">
        <f>_xlfn.XLOOKUP(D3,'Products Table'!A3:A10,'Products Table'!B3:B10)</f>
        <v>Notebook Bundle</v>
      </c>
      <c r="G3" t="str">
        <f>_xlfn.XLOOKUP(D3,'Products Table'!A3:A10,'Products Table'!C3:C10)</f>
        <v>Stationery</v>
      </c>
      <c r="H3">
        <f>_xlfn.XLOOKUP(F3,'Products Table'!B3:B10,'Products Table'!D3:D10)</f>
        <v>350</v>
      </c>
      <c r="I3" t="str">
        <f>_xlfn.XLOOKUP(C3,'Employee Table'!A2:A7,'Employee Table'!B2:B7)</f>
        <v>Thabo Nkosi</v>
      </c>
      <c r="J3" t="str">
        <f>_xlfn.XLOOKUP(I3,'Employee Table'!B2:B7,'Employee Table'!C2:C7)</f>
        <v>Gauteng</v>
      </c>
      <c r="K3">
        <f t="shared" ref="K3:K16" si="0">H3*E3</f>
        <v>3500</v>
      </c>
    </row>
    <row r="4" spans="1:11" x14ac:dyDescent="0.25">
      <c r="A4" t="s">
        <v>50</v>
      </c>
      <c r="B4" s="1">
        <v>46114</v>
      </c>
      <c r="C4" t="s">
        <v>30</v>
      </c>
      <c r="D4" t="s">
        <v>6</v>
      </c>
      <c r="E4">
        <v>4</v>
      </c>
      <c r="F4" t="str">
        <f>_xlfn.XLOOKUP(D4,'Products Table'!A4:A11,'Products Table'!B4:B11)</f>
        <v>Wireless Headset</v>
      </c>
      <c r="G4" t="str">
        <f>_xlfn.XLOOKUP(D4,'Products Table'!A4:A11,'Products Table'!C4:C11)</f>
        <v>Electronics</v>
      </c>
      <c r="H4">
        <f>_xlfn.XLOOKUP(F4,'Products Table'!B4:B11,'Products Table'!D4:D11)</f>
        <v>1800</v>
      </c>
      <c r="I4" t="str">
        <f>_xlfn.XLOOKUP(C4,'Employee Table'!A4:A9,'Employee Table'!B4:B9)</f>
        <v>Amahle Zulu</v>
      </c>
      <c r="J4" t="str">
        <f>_xlfn.XLOOKUP(I4,'Employee Table'!B4:B9,'Employee Table'!C4:C9)</f>
        <v>KZN</v>
      </c>
      <c r="K4">
        <f t="shared" si="0"/>
        <v>7200</v>
      </c>
    </row>
    <row r="5" spans="1:11" x14ac:dyDescent="0.25">
      <c r="A5" t="s">
        <v>51</v>
      </c>
      <c r="B5" s="1">
        <v>46114</v>
      </c>
      <c r="C5" t="s">
        <v>27</v>
      </c>
      <c r="D5" t="s">
        <v>7</v>
      </c>
      <c r="E5">
        <v>1</v>
      </c>
      <c r="F5" t="str">
        <f>_xlfn.XLOOKUP(D5,'Products Table'!A5:A12,'Products Table'!B5:B12)</f>
        <v>Standing Desk</v>
      </c>
      <c r="G5" t="str">
        <f>_xlfn.XLOOKUP(D5,'Products Table'!A5:A12,'Products Table'!C5:C12)</f>
        <v>Furniture</v>
      </c>
      <c r="H5">
        <f>_xlfn.XLOOKUP(F5,'Products Table'!B5:B12,'Products Table'!D5:D12)</f>
        <v>5500</v>
      </c>
      <c r="I5" t="str">
        <f>_xlfn.XLOOKUP(C5,'Employee Table'!A2:A7,'Employee Table'!B2:B7)</f>
        <v>Priya Pillay</v>
      </c>
      <c r="J5" t="str">
        <f>_xlfn.XLOOKUP(I5,'Employee Table'!B2:B7,'Employee Table'!C2:C7)</f>
        <v>KZN</v>
      </c>
      <c r="K5">
        <f t="shared" si="0"/>
        <v>5500</v>
      </c>
    </row>
    <row r="6" spans="1:11" x14ac:dyDescent="0.25">
      <c r="A6" t="s">
        <v>52</v>
      </c>
      <c r="B6" s="1">
        <v>46115</v>
      </c>
      <c r="C6" t="s">
        <v>29</v>
      </c>
      <c r="D6" t="s">
        <v>10</v>
      </c>
      <c r="E6">
        <v>3</v>
      </c>
      <c r="F6" t="str">
        <f>_xlfn.XLOOKUP(D6,'Products Table'!A6:A13,'Products Table'!B6:B13)</f>
        <v>Mechanical Keyboard</v>
      </c>
      <c r="G6" t="str">
        <f>_xlfn.XLOOKUP(D6,'Products Table'!A6:A13,'Products Table'!C6:C13)</f>
        <v>Electronics</v>
      </c>
      <c r="H6">
        <f>_xlfn.XLOOKUP(F6,'Products Table'!B6:B13,'Products Table'!D6:D13)</f>
        <v>2100</v>
      </c>
      <c r="I6" t="str">
        <f>_xlfn.XLOOKUP(C6,'Employee Table'!A3:A8,'Employee Table'!B3:B8)</f>
        <v>Riaan Botha</v>
      </c>
      <c r="J6" t="str">
        <f>_xlfn.XLOOKUP(I6,'Employee Table'!B3:B8,'Employee Table'!C3:C8)</f>
        <v>Gauteng</v>
      </c>
      <c r="K6">
        <f t="shared" si="0"/>
        <v>6300</v>
      </c>
    </row>
    <row r="7" spans="1:11" x14ac:dyDescent="0.25">
      <c r="A7" t="s">
        <v>53</v>
      </c>
      <c r="B7" s="1">
        <v>46115</v>
      </c>
      <c r="C7" t="s">
        <v>31</v>
      </c>
      <c r="D7" t="s">
        <v>5</v>
      </c>
      <c r="E7">
        <v>2</v>
      </c>
      <c r="F7" t="str">
        <f>_xlfn.XLOOKUP(D7,'Products Table'!A2:A9,'Products Table'!B2:B9)</f>
        <v>Office Chair</v>
      </c>
      <c r="G7" t="str">
        <f>_xlfn.XLOOKUP(D7,'Products Table'!A2:A9,'Products Table'!C2:C9)</f>
        <v>Furniture</v>
      </c>
      <c r="H7">
        <f>_xlfn.XLOOKUP(F7,'Products Table'!B2:B9,'Products Table'!D2:D9)</f>
        <v>3200</v>
      </c>
      <c r="I7" t="str">
        <f>_xlfn.XLOOKUP(C7,'Employee Table'!A7:A12,'Employee Table'!B7:B12)</f>
        <v>Lebo Mahlangu</v>
      </c>
      <c r="J7" t="str">
        <f>_xlfn.XLOOKUP(I7,'Employee Table'!B7:B12,'Employee Table'!C7:C12)</f>
        <v>Limpopo</v>
      </c>
      <c r="K7">
        <f t="shared" si="0"/>
        <v>6400</v>
      </c>
    </row>
    <row r="8" spans="1:11" x14ac:dyDescent="0.25">
      <c r="A8" t="s">
        <v>54</v>
      </c>
      <c r="B8" s="1">
        <v>46116</v>
      </c>
      <c r="C8" t="s">
        <v>26</v>
      </c>
      <c r="D8" t="s">
        <v>8</v>
      </c>
      <c r="E8">
        <v>5</v>
      </c>
      <c r="F8" t="str">
        <f>_xlfn.XLOOKUP(D8,'Products Table'!A2:A9,'Products Table'!B2:B9)</f>
        <v>Webcam HD</v>
      </c>
      <c r="G8" t="str">
        <f>_xlfn.XLOOKUP(D8,'Products Table'!A2:A9,'Products Table'!C2:C9)</f>
        <v>Electronics</v>
      </c>
      <c r="H8">
        <f>_xlfn.XLOOKUP(F8,'Products Table'!B3:B10,'Products Table'!D3:D10)</f>
        <v>1200</v>
      </c>
      <c r="I8" t="str">
        <f>_xlfn.XLOOKUP(C8,'Employee Table'!A2:A7,'Employee Table'!B2:B7)</f>
        <v>Thabo Nkosi</v>
      </c>
      <c r="J8" t="str">
        <f>_xlfn.XLOOKUP(I8,'Employee Table'!B2:B7,'Employee Table'!C2:C7)</f>
        <v>Gauteng</v>
      </c>
      <c r="K8">
        <f t="shared" si="0"/>
        <v>6000</v>
      </c>
    </row>
    <row r="9" spans="1:11" x14ac:dyDescent="0.25">
      <c r="A9" t="s">
        <v>55</v>
      </c>
      <c r="B9" s="1">
        <v>46116</v>
      </c>
      <c r="C9" t="s">
        <v>28</v>
      </c>
      <c r="D9" t="s">
        <v>4</v>
      </c>
      <c r="E9">
        <v>1</v>
      </c>
      <c r="F9" t="str">
        <f>_xlfn.XLOOKUP(D9,'Products Table'!A2:A9,'Products Table'!B2:B9)</f>
        <v>Gaming Laptop</v>
      </c>
      <c r="G9" t="str">
        <f>_xlfn.XLOOKUP(D9,'Products Table'!A2:A9,'Products Table'!C2:C9)</f>
        <v>Electronics</v>
      </c>
      <c r="H9">
        <f>_xlfn.XLOOKUP(F9,'Products Table'!B2:B9,'Products Table'!D2:D9)</f>
        <v>15000</v>
      </c>
      <c r="I9" t="str">
        <f>_xlfn.XLOOKUP(C9,'Employee Table'!A3:A8,'Employee Table'!B3:B8)</f>
        <v>Zanele Dlamini</v>
      </c>
      <c r="J9" t="str">
        <f>_xlfn.XLOOKUP(I9,'Employee Table'!B3:B8,'Employee Table'!C3:C8)</f>
        <v xml:space="preserve">Western Cape </v>
      </c>
      <c r="K9">
        <f t="shared" si="0"/>
        <v>15000</v>
      </c>
    </row>
    <row r="10" spans="1:11" x14ac:dyDescent="0.25">
      <c r="A10" t="s">
        <v>56</v>
      </c>
      <c r="B10" s="1">
        <v>46119</v>
      </c>
      <c r="C10" t="s">
        <v>27</v>
      </c>
      <c r="D10" t="s">
        <v>11</v>
      </c>
      <c r="E10">
        <v>4</v>
      </c>
      <c r="F10" t="str">
        <f>_xlfn.XLOOKUP(D10,'Products Table'!A5:A12,'Products Table'!B5:B12)</f>
        <v>Whiteboard</v>
      </c>
      <c r="G10" t="str">
        <f>_xlfn.XLOOKUP(D10,'Products Table'!A5:A12,'Products Table'!C5:C12)</f>
        <v>Stationery</v>
      </c>
      <c r="H10">
        <f>_xlfn.XLOOKUP(F10,'Products Table'!B5:B12,'Products Table'!D5:D12)</f>
        <v>890</v>
      </c>
      <c r="I10" t="str">
        <f>_xlfn.XLOOKUP(C10,'Employee Table'!A2:A7,'Employee Table'!B2:B7)</f>
        <v>Priya Pillay</v>
      </c>
      <c r="J10" t="str">
        <f>_xlfn.XLOOKUP(I10,'Employee Table'!B2:B7,'Employee Table'!C2:C7)</f>
        <v>KZN</v>
      </c>
      <c r="K10">
        <f t="shared" si="0"/>
        <v>3560</v>
      </c>
    </row>
    <row r="11" spans="1:11" x14ac:dyDescent="0.25">
      <c r="A11" t="s">
        <v>57</v>
      </c>
      <c r="B11" s="1">
        <v>46119</v>
      </c>
      <c r="C11" t="s">
        <v>30</v>
      </c>
      <c r="D11" t="s">
        <v>10</v>
      </c>
      <c r="E11">
        <v>2</v>
      </c>
      <c r="F11" t="str">
        <f>_xlfn.XLOOKUP(D11,'Products Table'!A6:A13,'Products Table'!B6:B13)</f>
        <v>Mechanical Keyboard</v>
      </c>
      <c r="G11" t="str">
        <f>_xlfn.XLOOKUP(D11,'Products Table'!A6:A13,'Products Table'!C6:C13)</f>
        <v>Electronics</v>
      </c>
      <c r="H11">
        <f>_xlfn.XLOOKUP(F11,'Products Table'!B6:B13,'Products Table'!D6:D13)</f>
        <v>2100</v>
      </c>
      <c r="I11" t="str">
        <f>_xlfn.XLOOKUP(C11,'Employee Table'!A5:A10,'Employee Table'!B5:B10)</f>
        <v>Amahle Zulu</v>
      </c>
      <c r="J11" t="str">
        <f>_xlfn.XLOOKUP(I11,'Employee Table'!B5:B10,'Employee Table'!C5:C10)</f>
        <v>KZN</v>
      </c>
      <c r="K11">
        <f t="shared" si="0"/>
        <v>4200</v>
      </c>
    </row>
    <row r="12" spans="1:11" x14ac:dyDescent="0.25">
      <c r="A12" t="s">
        <v>58</v>
      </c>
      <c r="B12" s="1">
        <v>46120</v>
      </c>
      <c r="C12" t="s">
        <v>31</v>
      </c>
      <c r="D12" t="s">
        <v>6</v>
      </c>
      <c r="E12">
        <v>6</v>
      </c>
      <c r="F12" t="str">
        <f>_xlfn.XLOOKUP(D12,'Products Table'!A2:A9,'Products Table'!B2:B9)</f>
        <v>Wireless Headset</v>
      </c>
      <c r="G12" t="str">
        <f>_xlfn.XLOOKUP(D12,'Products Table'!A2:A9,'Products Table'!C2:C9)</f>
        <v>Electronics</v>
      </c>
      <c r="H12">
        <f>_xlfn.XLOOKUP(F12,'Products Table'!B2:B9,'Products Table'!D2:D9)</f>
        <v>1800</v>
      </c>
      <c r="I12" t="str">
        <f>_xlfn.XLOOKUP(C12,'Employee Table'!A6:A11,'Employee Table'!B6:B11)</f>
        <v>Lebo Mahlangu</v>
      </c>
      <c r="J12" t="str">
        <f>_xlfn.XLOOKUP(I12,'Employee Table'!B6:B11,'Employee Table'!C6:C11)</f>
        <v>Limpopo</v>
      </c>
      <c r="K12">
        <f t="shared" si="0"/>
        <v>10800</v>
      </c>
    </row>
    <row r="13" spans="1:11" x14ac:dyDescent="0.25">
      <c r="A13" t="s">
        <v>59</v>
      </c>
      <c r="B13" s="1">
        <v>46120</v>
      </c>
      <c r="C13" t="s">
        <v>29</v>
      </c>
      <c r="D13" t="s">
        <v>4</v>
      </c>
      <c r="E13">
        <v>1</v>
      </c>
      <c r="F13" t="str">
        <f>_xlfn.XLOOKUP(D13,'Products Table'!A2:A9,'Products Table'!B2:B9)</f>
        <v>Gaming Laptop</v>
      </c>
      <c r="G13" t="str">
        <f>_xlfn.XLOOKUP(D13,'Products Table'!A2:A9,'Products Table'!C2:C9)</f>
        <v>Electronics</v>
      </c>
      <c r="H13">
        <f>_xlfn.XLOOKUP(F13,'Products Table'!B2:B9,'Products Table'!D2:D9)</f>
        <v>15000</v>
      </c>
      <c r="I13" t="str">
        <f>_xlfn.XLOOKUP(C13,'Employee Table'!A2:A7,'Employee Table'!B2:B7)</f>
        <v>Riaan Botha</v>
      </c>
      <c r="J13" t="str">
        <f>_xlfn.XLOOKUP(I13,'Employee Table'!B2:B7,'Employee Table'!C2:C7)</f>
        <v>Gauteng</v>
      </c>
      <c r="K13">
        <f t="shared" si="0"/>
        <v>15000</v>
      </c>
    </row>
    <row r="14" spans="1:11" x14ac:dyDescent="0.25">
      <c r="A14" t="s">
        <v>60</v>
      </c>
      <c r="B14" s="1">
        <v>46121</v>
      </c>
      <c r="C14" t="s">
        <v>26</v>
      </c>
      <c r="D14" t="s">
        <v>7</v>
      </c>
      <c r="E14">
        <v>2</v>
      </c>
      <c r="F14" t="str">
        <f>_xlfn.XLOOKUP(D14,'Products Table'!A2:A9,'Products Table'!B2:B9)</f>
        <v>Standing Desk</v>
      </c>
      <c r="G14" t="str">
        <f>_xlfn.XLOOKUP(D14,'Products Table'!A4:A11,'Products Table'!C4:C11)</f>
        <v>Furniture</v>
      </c>
      <c r="H14">
        <f>_xlfn.XLOOKUP(F14,'Products Table'!B4:B11,'Products Table'!D4:D11)</f>
        <v>5500</v>
      </c>
      <c r="I14" t="str">
        <f>_xlfn.XLOOKUP(C14,'Employee Table'!A2:A7,'Employee Table'!B2:B7)</f>
        <v>Thabo Nkosi</v>
      </c>
      <c r="J14" t="str">
        <f>_xlfn.XLOOKUP(I14,'Employee Table'!B2:B7,'Employee Table'!C2:C7)</f>
        <v>Gauteng</v>
      </c>
      <c r="K14">
        <f t="shared" si="0"/>
        <v>11000</v>
      </c>
    </row>
    <row r="15" spans="1:11" x14ac:dyDescent="0.25">
      <c r="A15" t="s">
        <v>61</v>
      </c>
      <c r="B15" s="1">
        <v>46121</v>
      </c>
      <c r="C15" t="s">
        <v>28</v>
      </c>
      <c r="D15" t="s">
        <v>9</v>
      </c>
      <c r="E15">
        <v>15</v>
      </c>
      <c r="F15" t="str">
        <f>_xlfn.XLOOKUP(D15,'Products Table'!A3:A10,'Products Table'!B3:B10)</f>
        <v>Notebook Bundle</v>
      </c>
      <c r="G15" t="str">
        <f>_xlfn.XLOOKUP(D15,'Products Table'!A5:A12,'Products Table'!C5:C12)</f>
        <v>Stationery</v>
      </c>
      <c r="H15">
        <f>_xlfn.XLOOKUP(F15,'Products Table'!B5:B12,'Products Table'!D5:D12)</f>
        <v>350</v>
      </c>
      <c r="I15" t="str">
        <f>_xlfn.XLOOKUP(C15,'Employee Table'!A4:A9,'Employee Table'!B4:B9)</f>
        <v>Zanele Dlamini</v>
      </c>
      <c r="J15" t="str">
        <f>_xlfn.XLOOKUP(I15,'Employee Table'!B4:B9,'Employee Table'!C4:C9)</f>
        <v xml:space="preserve">Western Cape </v>
      </c>
      <c r="K15">
        <f t="shared" si="0"/>
        <v>5250</v>
      </c>
    </row>
    <row r="16" spans="1:11" x14ac:dyDescent="0.25">
      <c r="A16" t="s">
        <v>62</v>
      </c>
      <c r="B16" s="1">
        <v>46122</v>
      </c>
      <c r="C16" t="s">
        <v>27</v>
      </c>
      <c r="D16" t="s">
        <v>8</v>
      </c>
      <c r="E16">
        <v>3</v>
      </c>
      <c r="F16" t="str">
        <f>_xlfn.XLOOKUP(D16,'Products Table'!A4:A11,'Products Table'!B4:B11)</f>
        <v>Webcam HD</v>
      </c>
      <c r="G16" t="str">
        <f>_xlfn.XLOOKUP(D16,'Products Table'!A6:A13,'Products Table'!C6:C13)</f>
        <v>Electronics</v>
      </c>
      <c r="H16">
        <f>_xlfn.XLOOKUP(F16,'Products Table'!B6:B13,'Products Table'!D6:D13)</f>
        <v>1200</v>
      </c>
      <c r="I16" t="str">
        <f>_xlfn.XLOOKUP(C16,'Employee Table'!A2:A7,'Employee Table'!B2:B7)</f>
        <v>Priya Pillay</v>
      </c>
      <c r="J16" t="str">
        <f>_xlfn.XLOOKUP(I16,'Employee Table'!B2:B7,'Employee Table'!C2:C7)</f>
        <v>KZN</v>
      </c>
      <c r="K16">
        <f t="shared" si="0"/>
        <v>3600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8F6D-9F42-4BEC-8272-52354F47F90E}">
  <dimension ref="A3:K10"/>
  <sheetViews>
    <sheetView tabSelected="1" workbookViewId="0">
      <selection activeCell="E6" sqref="E6"/>
    </sheetView>
  </sheetViews>
  <sheetFormatPr defaultRowHeight="15" x14ac:dyDescent="0.25"/>
  <cols>
    <col min="1" max="1" width="13.5703125" bestFit="1" customWidth="1"/>
    <col min="2" max="2" width="24.140625" bestFit="1" customWidth="1"/>
    <col min="3" max="3" width="4.5703125" bestFit="1" customWidth="1"/>
    <col min="4" max="4" width="8.85546875" bestFit="1" customWidth="1"/>
    <col min="5" max="5" width="13.42578125" bestFit="1" customWidth="1"/>
    <col min="6" max="6" width="24.140625" bestFit="1" customWidth="1"/>
    <col min="7" max="7" width="11.85546875" bestFit="1" customWidth="1"/>
    <col min="8" max="8" width="12.140625" bestFit="1" customWidth="1"/>
    <col min="9" max="9" width="12.85546875" bestFit="1" customWidth="1"/>
    <col min="10" max="10" width="14.5703125" bestFit="1" customWidth="1"/>
    <col min="11" max="11" width="24.140625" bestFit="1" customWidth="1"/>
    <col min="12" max="15" width="6" bestFit="1" customWidth="1"/>
    <col min="16" max="16" width="11.28515625" bestFit="1" customWidth="1"/>
  </cols>
  <sheetData>
    <row r="3" spans="1:11" x14ac:dyDescent="0.25">
      <c r="A3" s="2" t="s">
        <v>67</v>
      </c>
      <c r="B3" t="s">
        <v>70</v>
      </c>
      <c r="E3" s="2" t="s">
        <v>67</v>
      </c>
      <c r="F3" t="s">
        <v>70</v>
      </c>
      <c r="J3" s="2" t="s">
        <v>67</v>
      </c>
      <c r="K3" t="s">
        <v>70</v>
      </c>
    </row>
    <row r="4" spans="1:11" x14ac:dyDescent="0.25">
      <c r="A4" s="3" t="s">
        <v>40</v>
      </c>
      <c r="B4" s="4">
        <v>50250</v>
      </c>
      <c r="E4" s="3" t="s">
        <v>20</v>
      </c>
      <c r="F4" s="5">
        <v>98100</v>
      </c>
      <c r="J4" s="3" t="s">
        <v>34</v>
      </c>
      <c r="K4" s="4">
        <v>50250</v>
      </c>
    </row>
    <row r="5" spans="1:11" x14ac:dyDescent="0.25">
      <c r="A5" s="3" t="s">
        <v>38</v>
      </c>
      <c r="B5" s="4">
        <v>41800</v>
      </c>
      <c r="E5" s="3" t="s">
        <v>21</v>
      </c>
      <c r="F5" s="5">
        <v>22900</v>
      </c>
      <c r="J5" s="3" t="s">
        <v>32</v>
      </c>
      <c r="K5" s="4">
        <v>20500</v>
      </c>
    </row>
    <row r="6" spans="1:11" x14ac:dyDescent="0.25">
      <c r="A6" s="3" t="s">
        <v>39</v>
      </c>
      <c r="B6" s="4">
        <v>24060</v>
      </c>
      <c r="E6" s="3" t="s">
        <v>22</v>
      </c>
      <c r="F6" s="5">
        <v>12310</v>
      </c>
      <c r="J6" s="3" t="s">
        <v>35</v>
      </c>
      <c r="K6" s="4">
        <v>21300</v>
      </c>
    </row>
    <row r="7" spans="1:11" x14ac:dyDescent="0.25">
      <c r="A7" s="3" t="s">
        <v>41</v>
      </c>
      <c r="B7" s="4">
        <v>17200</v>
      </c>
      <c r="E7" s="3" t="s">
        <v>68</v>
      </c>
      <c r="F7" s="5">
        <v>133310</v>
      </c>
      <c r="J7" s="3" t="s">
        <v>33</v>
      </c>
      <c r="K7" s="4">
        <v>12660</v>
      </c>
    </row>
    <row r="8" spans="1:11" x14ac:dyDescent="0.25">
      <c r="A8" s="3" t="s">
        <v>68</v>
      </c>
      <c r="B8" s="4">
        <v>133310</v>
      </c>
      <c r="J8" s="3" t="s">
        <v>37</v>
      </c>
      <c r="K8" s="4">
        <v>17200</v>
      </c>
    </row>
    <row r="9" spans="1:11" x14ac:dyDescent="0.25">
      <c r="J9" s="3" t="s">
        <v>36</v>
      </c>
      <c r="K9" s="4">
        <v>11400</v>
      </c>
    </row>
    <row r="10" spans="1:11" x14ac:dyDescent="0.25">
      <c r="J10" s="3" t="s">
        <v>68</v>
      </c>
      <c r="K10" s="4">
        <v>133310</v>
      </c>
    </row>
  </sheetData>
  <pageMargins left="0.7" right="0.7" top="0.75" bottom="0.75" header="0.3" footer="0.3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EEF03FE9970D4BA904A7A938F086D6" ma:contentTypeVersion="9" ma:contentTypeDescription="Create a new document." ma:contentTypeScope="" ma:versionID="2502d8cb00421e2ce73f263bdb00baff">
  <xsd:schema xmlns:xsd="http://www.w3.org/2001/XMLSchema" xmlns:xs="http://www.w3.org/2001/XMLSchema" xmlns:p="http://schemas.microsoft.com/office/2006/metadata/properties" xmlns:ns3="e22a046b-f3d7-452d-b27c-aa414f720391" targetNamespace="http://schemas.microsoft.com/office/2006/metadata/properties" ma:root="true" ma:fieldsID="6b4936264153d39573bb50163a233602" ns3:_="">
    <xsd:import namespace="e22a046b-f3d7-452d-b27c-aa414f7203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046b-f3d7-452d-b27c-aa414f7203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2a046b-f3d7-452d-b27c-aa414f720391" xsi:nil="true"/>
  </documentManagement>
</p:properties>
</file>

<file path=customXml/itemProps1.xml><?xml version="1.0" encoding="utf-8"?>
<ds:datastoreItem xmlns:ds="http://schemas.openxmlformats.org/officeDocument/2006/customXml" ds:itemID="{C8223B5F-3960-424F-AFE2-999A7695EB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046b-f3d7-452d-b27c-aa414f7203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1B513-E4EB-4CA4-9A87-4C7E5EE66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BCB2C2-27B0-4071-B6BF-037A8C4C0CBD}">
  <ds:schemaRefs>
    <ds:schemaRef ds:uri="http://schemas.microsoft.com/office/infopath/2007/PartnerControls"/>
    <ds:schemaRef ds:uri="e22a046b-f3d7-452d-b27c-aa414f720391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 Table</vt:lpstr>
      <vt:lpstr>Employee Table</vt:lpstr>
      <vt:lpstr>Raw Transactions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Anotida Tyris  Kanzara</dc:creator>
  <cp:lastModifiedBy>Anotida Tyris  Kanzara</cp:lastModifiedBy>
  <dcterms:created xsi:type="dcterms:W3CDTF">2026-05-05T14:06:29Z</dcterms:created>
  <dcterms:modified xsi:type="dcterms:W3CDTF">2026-05-05T15:19:24Z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0x01010084EEF03FE9970D4BA904A7A938F086D6</vt:lpwstr>
  </property>
</Properties>
</file>